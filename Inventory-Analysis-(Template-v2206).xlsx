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d.docs.live.net/3a29fa30bb9de5c4/dev/FileInventory/"/>
    </mc:Choice>
  </mc:AlternateContent>
  <xr:revisionPtr revIDLastSave="42" documentId="11_E61CB66A2B891D1847B205EF571C05B5D901FA21" xr6:coauthVersionLast="47" xr6:coauthVersionMax="47" xr10:uidLastSave="{276F73B1-CBEC-45B0-B2AA-75BCD3B9546F}"/>
  <bookViews>
    <workbookView xWindow="1470" yWindow="1470" windowWidth="21600" windowHeight="11295" activeTab="4" xr2:uid="{00000000-000D-0000-FFFF-FFFF00000000}"/>
  </bookViews>
  <sheets>
    <sheet name="output" sheetId="1" r:id="rId1"/>
    <sheet name="Inventory" sheetId="2" r:id="rId2"/>
    <sheet name="Summary" sheetId="8" r:id="rId3"/>
    <sheet name="Analysis" sheetId="6" r:id="rId4"/>
    <sheet name="Lookup" sheetId="7" r:id="rId5"/>
  </sheets>
  <definedNames>
    <definedName name="_xlnm._FilterDatabase" localSheetId="1" hidden="1">Inventory!$A$1:$Z$1</definedName>
    <definedName name="_xlnm._FilterDatabase" localSheetId="4" hidden="1">Lookup!$A$1:$C$105</definedName>
    <definedName name="_xlnm._FilterDatabase" localSheetId="0" hidden="1">output!$A$1:$G$2</definedName>
    <definedName name="Accessed">output!$D$2:$D$921964</definedName>
    <definedName name="Age">output!$G$2:$G$921964</definedName>
    <definedName name="Bytes">output!$E$2:$E$921964</definedName>
    <definedName name="CountInventoryMigration">#REF!</definedName>
    <definedName name="CountInventoryMigration5yr">#REF!</definedName>
    <definedName name="Created">output!$C$2:$C$921964</definedName>
    <definedName name="_xlnm.Extract" localSheetId="0">output!#REF!</definedName>
    <definedName name="Exts">output!$B$2:$B$921964</definedName>
    <definedName name="InventoryCount">Summary!$M$2</definedName>
    <definedName name="lkpCat">Lookup!$A$2:$A$219</definedName>
    <definedName name="lkpDesc">Lookup!$B$2:$B$219</definedName>
    <definedName name="lkpExt">Lookup!$C$2:$C$219</definedName>
    <definedName name="TotalMB">Summary!$D$2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95" i="2" l="1"/>
  <c r="B195" i="2"/>
  <c r="D195" i="2"/>
  <c r="F195" i="2" s="1"/>
  <c r="P33" i="2"/>
  <c r="B65" i="2"/>
  <c r="A65" i="2"/>
  <c r="B219" i="2"/>
  <c r="A219" i="2"/>
  <c r="B218" i="2"/>
  <c r="A218" i="2"/>
  <c r="B217" i="2"/>
  <c r="A217" i="2"/>
  <c r="B216" i="2"/>
  <c r="A216" i="2"/>
  <c r="B215" i="2"/>
  <c r="A215" i="2"/>
  <c r="B113" i="2"/>
  <c r="A113" i="2"/>
  <c r="B143" i="2"/>
  <c r="A143" i="2"/>
  <c r="B112" i="2"/>
  <c r="A112" i="2"/>
  <c r="B111" i="2"/>
  <c r="A111" i="2"/>
  <c r="B110" i="2"/>
  <c r="A110" i="2"/>
  <c r="B214" i="2"/>
  <c r="A214" i="2"/>
  <c r="B213" i="2"/>
  <c r="A213" i="2"/>
  <c r="B109" i="2"/>
  <c r="A109" i="2"/>
  <c r="B108" i="2"/>
  <c r="A108" i="2"/>
  <c r="B52" i="2"/>
  <c r="A52" i="2"/>
  <c r="B166" i="2"/>
  <c r="A166" i="2"/>
  <c r="B184" i="2"/>
  <c r="A184" i="2"/>
  <c r="B165" i="2"/>
  <c r="A165" i="2"/>
  <c r="B79" i="2"/>
  <c r="A79" i="2"/>
  <c r="B142" i="2"/>
  <c r="A142" i="2"/>
  <c r="B51" i="2"/>
  <c r="A51" i="2"/>
  <c r="B107" i="2"/>
  <c r="A107" i="2"/>
  <c r="B106" i="2"/>
  <c r="A106" i="2"/>
  <c r="B78" i="2"/>
  <c r="A78" i="2"/>
  <c r="B105" i="2"/>
  <c r="A105" i="2"/>
  <c r="B183" i="2"/>
  <c r="A183" i="2"/>
  <c r="B64" i="2"/>
  <c r="A64" i="2"/>
  <c r="B63" i="2"/>
  <c r="A63" i="2"/>
  <c r="B62" i="2"/>
  <c r="A62" i="2"/>
  <c r="B61" i="2"/>
  <c r="A61" i="2"/>
  <c r="B50" i="2"/>
  <c r="A50" i="2"/>
  <c r="B49" i="2"/>
  <c r="A49" i="2"/>
  <c r="B48" i="2"/>
  <c r="A48" i="2"/>
  <c r="B104" i="2"/>
  <c r="A104" i="2"/>
  <c r="B47" i="2"/>
  <c r="A47" i="2"/>
  <c r="B103" i="2"/>
  <c r="A103" i="2"/>
  <c r="B164" i="2"/>
  <c r="A164" i="2"/>
  <c r="B46" i="2"/>
  <c r="A46" i="2"/>
  <c r="B45" i="2"/>
  <c r="A45" i="2"/>
  <c r="B163" i="2"/>
  <c r="A163" i="2"/>
  <c r="B162" i="2"/>
  <c r="A162" i="2"/>
  <c r="B212" i="2"/>
  <c r="A212" i="2"/>
  <c r="B60" i="2"/>
  <c r="A60" i="2"/>
  <c r="B141" i="2"/>
  <c r="A141" i="2"/>
  <c r="B182" i="2"/>
  <c r="A182" i="2"/>
  <c r="B181" i="2"/>
  <c r="A181" i="2"/>
  <c r="B161" i="2"/>
  <c r="A161" i="2"/>
  <c r="B180" i="2"/>
  <c r="A180" i="2"/>
  <c r="B44" i="2"/>
  <c r="A44" i="2"/>
  <c r="B140" i="2"/>
  <c r="A140" i="2"/>
  <c r="B211" i="2"/>
  <c r="A211" i="2"/>
  <c r="B43" i="2"/>
  <c r="A43" i="2"/>
  <c r="B102" i="2"/>
  <c r="A102" i="2"/>
  <c r="B139" i="2"/>
  <c r="A139" i="2"/>
  <c r="B101" i="2"/>
  <c r="A101" i="2"/>
  <c r="B210" i="2"/>
  <c r="A210" i="2"/>
  <c r="B179" i="2"/>
  <c r="A179" i="2"/>
  <c r="B42" i="2"/>
  <c r="A42" i="2"/>
  <c r="B41" i="2"/>
  <c r="A41" i="2"/>
  <c r="B160" i="2"/>
  <c r="A160" i="2"/>
  <c r="B59" i="2"/>
  <c r="A59" i="2"/>
  <c r="B77" i="2"/>
  <c r="A77" i="2"/>
  <c r="B76" i="2"/>
  <c r="A76" i="2"/>
  <c r="B40" i="2"/>
  <c r="A40" i="2"/>
  <c r="B100" i="2"/>
  <c r="A100" i="2"/>
  <c r="B159" i="2"/>
  <c r="A159" i="2"/>
  <c r="B39" i="2"/>
  <c r="A39" i="2"/>
  <c r="B38" i="2"/>
  <c r="A38" i="2"/>
  <c r="B37" i="2"/>
  <c r="A37" i="2"/>
  <c r="B99" i="2"/>
  <c r="A99" i="2"/>
  <c r="B98" i="2"/>
  <c r="A98" i="2"/>
  <c r="B97" i="2"/>
  <c r="A97" i="2"/>
  <c r="B96" i="2"/>
  <c r="A96" i="2"/>
  <c r="B158" i="2"/>
  <c r="A158" i="2"/>
  <c r="P219" i="2"/>
  <c r="E219" i="2" s="1"/>
  <c r="D65" i="2"/>
  <c r="F65" i="2" s="1"/>
  <c r="Z218" i="2"/>
  <c r="Y218" i="2"/>
  <c r="X218" i="2"/>
  <c r="W218" i="2"/>
  <c r="V218" i="2"/>
  <c r="U218" i="2"/>
  <c r="T218" i="2"/>
  <c r="S218" i="2"/>
  <c r="R218" i="2"/>
  <c r="Q218" i="2"/>
  <c r="P218" i="2"/>
  <c r="E218" i="2" s="1"/>
  <c r="N218" i="2"/>
  <c r="M218" i="2"/>
  <c r="L218" i="2"/>
  <c r="K218" i="2"/>
  <c r="J218" i="2"/>
  <c r="I218" i="2"/>
  <c r="H218" i="2"/>
  <c r="D219" i="2"/>
  <c r="F219" i="2" s="1"/>
  <c r="P217" i="2"/>
  <c r="D218" i="2"/>
  <c r="F218" i="2" s="1"/>
  <c r="Z216" i="2"/>
  <c r="Y216" i="2"/>
  <c r="X216" i="2"/>
  <c r="W216" i="2"/>
  <c r="V216" i="2"/>
  <c r="U216" i="2"/>
  <c r="T216" i="2"/>
  <c r="S216" i="2"/>
  <c r="R216" i="2"/>
  <c r="Q216" i="2"/>
  <c r="P216" i="2"/>
  <c r="N216" i="2"/>
  <c r="M216" i="2"/>
  <c r="L216" i="2"/>
  <c r="K216" i="2"/>
  <c r="J216" i="2"/>
  <c r="I216" i="2"/>
  <c r="H216" i="2"/>
  <c r="D217" i="2"/>
  <c r="F217" i="2" s="1"/>
  <c r="P215" i="2"/>
  <c r="D216" i="2"/>
  <c r="F216" i="2" s="1"/>
  <c r="Z214" i="2"/>
  <c r="Y214" i="2"/>
  <c r="X214" i="2"/>
  <c r="W214" i="2"/>
  <c r="V214" i="2"/>
  <c r="U214" i="2"/>
  <c r="T214" i="2"/>
  <c r="S214" i="2"/>
  <c r="R214" i="2"/>
  <c r="Q214" i="2"/>
  <c r="P214" i="2"/>
  <c r="E214" i="2" s="1"/>
  <c r="N214" i="2"/>
  <c r="M214" i="2"/>
  <c r="L214" i="2"/>
  <c r="K214" i="2"/>
  <c r="J214" i="2"/>
  <c r="I214" i="2"/>
  <c r="H214" i="2"/>
  <c r="D215" i="2"/>
  <c r="F215" i="2" s="1"/>
  <c r="Z213" i="2"/>
  <c r="Y213" i="2"/>
  <c r="X213" i="2"/>
  <c r="W213" i="2"/>
  <c r="V213" i="2"/>
  <c r="U213" i="2"/>
  <c r="T213" i="2"/>
  <c r="S213" i="2"/>
  <c r="R213" i="2"/>
  <c r="Q213" i="2"/>
  <c r="P213" i="2"/>
  <c r="N213" i="2"/>
  <c r="M213" i="2"/>
  <c r="L213" i="2"/>
  <c r="K213" i="2"/>
  <c r="J213" i="2"/>
  <c r="I213" i="2"/>
  <c r="H213" i="2"/>
  <c r="D113" i="2"/>
  <c r="F113" i="2" s="1"/>
  <c r="P212" i="2"/>
  <c r="D143" i="2"/>
  <c r="F143" i="2" s="1"/>
  <c r="P211" i="2"/>
  <c r="D112" i="2"/>
  <c r="F112" i="2" s="1"/>
  <c r="P210" i="2"/>
  <c r="D111" i="2"/>
  <c r="F111" i="2" s="1"/>
  <c r="P209" i="2"/>
  <c r="D110" i="2"/>
  <c r="F110" i="2" s="1"/>
  <c r="Z208" i="2"/>
  <c r="Y208" i="2"/>
  <c r="X208" i="2"/>
  <c r="W208" i="2"/>
  <c r="V208" i="2"/>
  <c r="U208" i="2"/>
  <c r="T208" i="2"/>
  <c r="S208" i="2"/>
  <c r="R208" i="2"/>
  <c r="Q208" i="2"/>
  <c r="P208" i="2"/>
  <c r="N208" i="2"/>
  <c r="M208" i="2"/>
  <c r="L208" i="2"/>
  <c r="K208" i="2"/>
  <c r="J208" i="2"/>
  <c r="I208" i="2"/>
  <c r="H208" i="2"/>
  <c r="D214" i="2"/>
  <c r="F214" i="2" s="1"/>
  <c r="P207" i="2"/>
  <c r="D213" i="2"/>
  <c r="F213" i="2" s="1"/>
  <c r="P206" i="2"/>
  <c r="D109" i="2"/>
  <c r="F109" i="2" s="1"/>
  <c r="P205" i="2"/>
  <c r="D108" i="2"/>
  <c r="F108" i="2" s="1"/>
  <c r="Z204" i="2"/>
  <c r="Y204" i="2"/>
  <c r="X204" i="2"/>
  <c r="W204" i="2"/>
  <c r="V204" i="2"/>
  <c r="U204" i="2"/>
  <c r="T204" i="2"/>
  <c r="S204" i="2"/>
  <c r="R204" i="2"/>
  <c r="Q204" i="2"/>
  <c r="P204" i="2"/>
  <c r="N204" i="2"/>
  <c r="M204" i="2"/>
  <c r="L204" i="2"/>
  <c r="K204" i="2"/>
  <c r="J204" i="2"/>
  <c r="I204" i="2"/>
  <c r="H204" i="2"/>
  <c r="D52" i="2"/>
  <c r="F52" i="2" s="1"/>
  <c r="Z203" i="2"/>
  <c r="Y203" i="2"/>
  <c r="X203" i="2"/>
  <c r="W203" i="2"/>
  <c r="V203" i="2"/>
  <c r="U203" i="2"/>
  <c r="T203" i="2"/>
  <c r="S203" i="2"/>
  <c r="R203" i="2"/>
  <c r="Q203" i="2"/>
  <c r="P203" i="2"/>
  <c r="N203" i="2"/>
  <c r="M203" i="2"/>
  <c r="L203" i="2"/>
  <c r="K203" i="2"/>
  <c r="J203" i="2"/>
  <c r="I203" i="2"/>
  <c r="H203" i="2"/>
  <c r="D166" i="2"/>
  <c r="F166" i="2" s="1"/>
  <c r="Z202" i="2"/>
  <c r="Y202" i="2"/>
  <c r="X202" i="2"/>
  <c r="W202" i="2"/>
  <c r="V202" i="2"/>
  <c r="U202" i="2"/>
  <c r="T202" i="2"/>
  <c r="S202" i="2"/>
  <c r="R202" i="2"/>
  <c r="Q202" i="2"/>
  <c r="P202" i="2"/>
  <c r="N202" i="2"/>
  <c r="M202" i="2"/>
  <c r="L202" i="2"/>
  <c r="K202" i="2"/>
  <c r="J202" i="2"/>
  <c r="I202" i="2"/>
  <c r="H202" i="2"/>
  <c r="D184" i="2"/>
  <c r="F184" i="2" s="1"/>
  <c r="P201" i="2"/>
  <c r="D165" i="2"/>
  <c r="F165" i="2" s="1"/>
  <c r="Z200" i="2"/>
  <c r="Y200" i="2"/>
  <c r="X200" i="2"/>
  <c r="W200" i="2"/>
  <c r="V200" i="2"/>
  <c r="U200" i="2"/>
  <c r="T200" i="2"/>
  <c r="S200" i="2"/>
  <c r="R200" i="2"/>
  <c r="Q200" i="2"/>
  <c r="P200" i="2"/>
  <c r="N200" i="2"/>
  <c r="M200" i="2"/>
  <c r="L200" i="2"/>
  <c r="K200" i="2"/>
  <c r="J200" i="2"/>
  <c r="I200" i="2"/>
  <c r="H200" i="2"/>
  <c r="D79" i="2"/>
  <c r="F79" i="2" s="1"/>
  <c r="Z199" i="2"/>
  <c r="Y199" i="2"/>
  <c r="X199" i="2"/>
  <c r="W199" i="2"/>
  <c r="V199" i="2"/>
  <c r="U199" i="2"/>
  <c r="T199" i="2"/>
  <c r="S199" i="2"/>
  <c r="R199" i="2"/>
  <c r="Q199" i="2"/>
  <c r="P199" i="2"/>
  <c r="N199" i="2"/>
  <c r="M199" i="2"/>
  <c r="L199" i="2"/>
  <c r="K199" i="2"/>
  <c r="J199" i="2"/>
  <c r="I199" i="2"/>
  <c r="H199" i="2"/>
  <c r="D142" i="2"/>
  <c r="F142" i="2" s="1"/>
  <c r="Z198" i="2"/>
  <c r="Y198" i="2"/>
  <c r="X198" i="2"/>
  <c r="W198" i="2"/>
  <c r="V198" i="2"/>
  <c r="U198" i="2"/>
  <c r="T198" i="2"/>
  <c r="S198" i="2"/>
  <c r="R198" i="2"/>
  <c r="Q198" i="2"/>
  <c r="P198" i="2"/>
  <c r="N198" i="2"/>
  <c r="M198" i="2"/>
  <c r="L198" i="2"/>
  <c r="K198" i="2"/>
  <c r="J198" i="2"/>
  <c r="I198" i="2"/>
  <c r="H198" i="2"/>
  <c r="D51" i="2"/>
  <c r="F51" i="2" s="1"/>
  <c r="Z197" i="2"/>
  <c r="Y197" i="2"/>
  <c r="X197" i="2"/>
  <c r="W197" i="2"/>
  <c r="V197" i="2"/>
  <c r="U197" i="2"/>
  <c r="T197" i="2"/>
  <c r="S197" i="2"/>
  <c r="R197" i="2"/>
  <c r="Q197" i="2"/>
  <c r="P197" i="2"/>
  <c r="N197" i="2"/>
  <c r="M197" i="2"/>
  <c r="L197" i="2"/>
  <c r="K197" i="2"/>
  <c r="J197" i="2"/>
  <c r="I197" i="2"/>
  <c r="H197" i="2"/>
  <c r="D107" i="2"/>
  <c r="F107" i="2" s="1"/>
  <c r="P196" i="2"/>
  <c r="D106" i="2"/>
  <c r="F106" i="2" s="1"/>
  <c r="P195" i="2"/>
  <c r="D78" i="2"/>
  <c r="F78" i="2" s="1"/>
  <c r="P194" i="2"/>
  <c r="D105" i="2"/>
  <c r="F105" i="2" s="1"/>
  <c r="Z193" i="2"/>
  <c r="Y193" i="2"/>
  <c r="X193" i="2"/>
  <c r="W193" i="2"/>
  <c r="V193" i="2"/>
  <c r="U193" i="2"/>
  <c r="T193" i="2"/>
  <c r="S193" i="2"/>
  <c r="R193" i="2"/>
  <c r="Q193" i="2"/>
  <c r="P193" i="2"/>
  <c r="N193" i="2"/>
  <c r="M193" i="2"/>
  <c r="L193" i="2"/>
  <c r="K193" i="2"/>
  <c r="J193" i="2"/>
  <c r="I193" i="2"/>
  <c r="H193" i="2"/>
  <c r="D183" i="2"/>
  <c r="F183" i="2" s="1"/>
  <c r="Z192" i="2"/>
  <c r="Y192" i="2"/>
  <c r="X192" i="2"/>
  <c r="W192" i="2"/>
  <c r="V192" i="2"/>
  <c r="U192" i="2"/>
  <c r="T192" i="2"/>
  <c r="S192" i="2"/>
  <c r="R192" i="2"/>
  <c r="Q192" i="2"/>
  <c r="P192" i="2"/>
  <c r="N192" i="2"/>
  <c r="M192" i="2"/>
  <c r="L192" i="2"/>
  <c r="K192" i="2"/>
  <c r="J192" i="2"/>
  <c r="I192" i="2"/>
  <c r="H192" i="2"/>
  <c r="D64" i="2"/>
  <c r="F64" i="2" s="1"/>
  <c r="P191" i="2"/>
  <c r="D63" i="2"/>
  <c r="F63" i="2" s="1"/>
  <c r="Z190" i="2"/>
  <c r="Y190" i="2"/>
  <c r="X190" i="2"/>
  <c r="W190" i="2"/>
  <c r="V190" i="2"/>
  <c r="U190" i="2"/>
  <c r="T190" i="2"/>
  <c r="S190" i="2"/>
  <c r="R190" i="2"/>
  <c r="Q190" i="2"/>
  <c r="P190" i="2"/>
  <c r="N190" i="2"/>
  <c r="M190" i="2"/>
  <c r="L190" i="2"/>
  <c r="K190" i="2"/>
  <c r="J190" i="2"/>
  <c r="I190" i="2"/>
  <c r="H190" i="2"/>
  <c r="D62" i="2"/>
  <c r="F62" i="2" s="1"/>
  <c r="Z189" i="2"/>
  <c r="Y189" i="2"/>
  <c r="X189" i="2"/>
  <c r="W189" i="2"/>
  <c r="V189" i="2"/>
  <c r="U189" i="2"/>
  <c r="T189" i="2"/>
  <c r="S189" i="2"/>
  <c r="R189" i="2"/>
  <c r="Q189" i="2"/>
  <c r="P189" i="2"/>
  <c r="N189" i="2"/>
  <c r="M189" i="2"/>
  <c r="L189" i="2"/>
  <c r="K189" i="2"/>
  <c r="J189" i="2"/>
  <c r="I189" i="2"/>
  <c r="H189" i="2"/>
  <c r="D61" i="2"/>
  <c r="F61" i="2" s="1"/>
  <c r="P188" i="2"/>
  <c r="D50" i="2"/>
  <c r="F50" i="2" s="1"/>
  <c r="P187" i="2"/>
  <c r="D49" i="2"/>
  <c r="F49" i="2" s="1"/>
  <c r="P186" i="2"/>
  <c r="D48" i="2"/>
  <c r="F48" i="2" s="1"/>
  <c r="Z185" i="2"/>
  <c r="Y185" i="2"/>
  <c r="X185" i="2"/>
  <c r="W185" i="2"/>
  <c r="V185" i="2"/>
  <c r="U185" i="2"/>
  <c r="T185" i="2"/>
  <c r="S185" i="2"/>
  <c r="R185" i="2"/>
  <c r="Q185" i="2"/>
  <c r="P185" i="2"/>
  <c r="N185" i="2"/>
  <c r="M185" i="2"/>
  <c r="L185" i="2"/>
  <c r="K185" i="2"/>
  <c r="J185" i="2"/>
  <c r="I185" i="2"/>
  <c r="H185" i="2"/>
  <c r="D104" i="2"/>
  <c r="F104" i="2" s="1"/>
  <c r="P184" i="2"/>
  <c r="D47" i="2"/>
  <c r="F47" i="2" s="1"/>
  <c r="P183" i="2"/>
  <c r="D103" i="2"/>
  <c r="F103" i="2" s="1"/>
  <c r="Z182" i="2"/>
  <c r="Y182" i="2"/>
  <c r="X182" i="2"/>
  <c r="W182" i="2"/>
  <c r="V182" i="2"/>
  <c r="U182" i="2"/>
  <c r="T182" i="2"/>
  <c r="S182" i="2"/>
  <c r="R182" i="2"/>
  <c r="Q182" i="2"/>
  <c r="P182" i="2"/>
  <c r="N182" i="2"/>
  <c r="M182" i="2"/>
  <c r="L182" i="2"/>
  <c r="K182" i="2"/>
  <c r="J182" i="2"/>
  <c r="I182" i="2"/>
  <c r="H182" i="2"/>
  <c r="D164" i="2"/>
  <c r="F164" i="2" s="1"/>
  <c r="Z181" i="2"/>
  <c r="Y181" i="2"/>
  <c r="X181" i="2"/>
  <c r="W181" i="2"/>
  <c r="V181" i="2"/>
  <c r="U181" i="2"/>
  <c r="T181" i="2"/>
  <c r="S181" i="2"/>
  <c r="R181" i="2"/>
  <c r="Q181" i="2"/>
  <c r="P181" i="2"/>
  <c r="N181" i="2"/>
  <c r="M181" i="2"/>
  <c r="L181" i="2"/>
  <c r="K181" i="2"/>
  <c r="J181" i="2"/>
  <c r="I181" i="2"/>
  <c r="H181" i="2"/>
  <c r="D46" i="2"/>
  <c r="F46" i="2" s="1"/>
  <c r="Z180" i="2"/>
  <c r="Y180" i="2"/>
  <c r="X180" i="2"/>
  <c r="W180" i="2"/>
  <c r="V180" i="2"/>
  <c r="U180" i="2"/>
  <c r="T180" i="2"/>
  <c r="S180" i="2"/>
  <c r="R180" i="2"/>
  <c r="Q180" i="2"/>
  <c r="P180" i="2"/>
  <c r="E180" i="2" s="1"/>
  <c r="N180" i="2"/>
  <c r="M180" i="2"/>
  <c r="L180" i="2"/>
  <c r="K180" i="2"/>
  <c r="J180" i="2"/>
  <c r="I180" i="2"/>
  <c r="H180" i="2"/>
  <c r="D45" i="2"/>
  <c r="F45" i="2" s="1"/>
  <c r="Z179" i="2"/>
  <c r="Y179" i="2"/>
  <c r="X179" i="2"/>
  <c r="W179" i="2"/>
  <c r="V179" i="2"/>
  <c r="U179" i="2"/>
  <c r="T179" i="2"/>
  <c r="S179" i="2"/>
  <c r="R179" i="2"/>
  <c r="Q179" i="2"/>
  <c r="P179" i="2"/>
  <c r="N179" i="2"/>
  <c r="M179" i="2"/>
  <c r="L179" i="2"/>
  <c r="K179" i="2"/>
  <c r="J179" i="2"/>
  <c r="I179" i="2"/>
  <c r="H179" i="2"/>
  <c r="D163" i="2"/>
  <c r="F163" i="2" s="1"/>
  <c r="P178" i="2"/>
  <c r="D162" i="2"/>
  <c r="F162" i="2" s="1"/>
  <c r="P177" i="2"/>
  <c r="D212" i="2"/>
  <c r="F212" i="2" s="1"/>
  <c r="P176" i="2"/>
  <c r="D60" i="2"/>
  <c r="F60" i="2" s="1"/>
  <c r="P175" i="2"/>
  <c r="D141" i="2"/>
  <c r="F141" i="2" s="1"/>
  <c r="P174" i="2"/>
  <c r="D182" i="2"/>
  <c r="F182" i="2" s="1"/>
  <c r="Z173" i="2"/>
  <c r="Y173" i="2"/>
  <c r="X173" i="2"/>
  <c r="W173" i="2"/>
  <c r="V173" i="2"/>
  <c r="U173" i="2"/>
  <c r="T173" i="2"/>
  <c r="S173" i="2"/>
  <c r="R173" i="2"/>
  <c r="Q173" i="2"/>
  <c r="P173" i="2"/>
  <c r="N173" i="2"/>
  <c r="M173" i="2"/>
  <c r="L173" i="2"/>
  <c r="K173" i="2"/>
  <c r="J173" i="2"/>
  <c r="I173" i="2"/>
  <c r="H173" i="2"/>
  <c r="D181" i="2"/>
  <c r="F181" i="2" s="1"/>
  <c r="Z172" i="2"/>
  <c r="Y172" i="2"/>
  <c r="X172" i="2"/>
  <c r="W172" i="2"/>
  <c r="V172" i="2"/>
  <c r="U172" i="2"/>
  <c r="T172" i="2"/>
  <c r="S172" i="2"/>
  <c r="R172" i="2"/>
  <c r="Q172" i="2"/>
  <c r="P172" i="2"/>
  <c r="N172" i="2"/>
  <c r="M172" i="2"/>
  <c r="L172" i="2"/>
  <c r="K172" i="2"/>
  <c r="J172" i="2"/>
  <c r="I172" i="2"/>
  <c r="H172" i="2"/>
  <c r="D161" i="2"/>
  <c r="F161" i="2" s="1"/>
  <c r="P171" i="2"/>
  <c r="D180" i="2"/>
  <c r="F180" i="2" s="1"/>
  <c r="Z170" i="2"/>
  <c r="Y170" i="2"/>
  <c r="X170" i="2"/>
  <c r="W170" i="2"/>
  <c r="V170" i="2"/>
  <c r="U170" i="2"/>
  <c r="T170" i="2"/>
  <c r="S170" i="2"/>
  <c r="R170" i="2"/>
  <c r="Q170" i="2"/>
  <c r="P170" i="2"/>
  <c r="N170" i="2"/>
  <c r="M170" i="2"/>
  <c r="L170" i="2"/>
  <c r="K170" i="2"/>
  <c r="J170" i="2"/>
  <c r="I170" i="2"/>
  <c r="H170" i="2"/>
  <c r="D44" i="2"/>
  <c r="F44" i="2" s="1"/>
  <c r="Z169" i="2"/>
  <c r="Y169" i="2"/>
  <c r="X169" i="2"/>
  <c r="W169" i="2"/>
  <c r="V169" i="2"/>
  <c r="U169" i="2"/>
  <c r="T169" i="2"/>
  <c r="S169" i="2"/>
  <c r="R169" i="2"/>
  <c r="Q169" i="2"/>
  <c r="P169" i="2"/>
  <c r="N169" i="2"/>
  <c r="M169" i="2"/>
  <c r="L169" i="2"/>
  <c r="K169" i="2"/>
  <c r="J169" i="2"/>
  <c r="I169" i="2"/>
  <c r="H169" i="2"/>
  <c r="D140" i="2"/>
  <c r="F140" i="2" s="1"/>
  <c r="Z168" i="2"/>
  <c r="Y168" i="2"/>
  <c r="X168" i="2"/>
  <c r="W168" i="2"/>
  <c r="V168" i="2"/>
  <c r="U168" i="2"/>
  <c r="T168" i="2"/>
  <c r="S168" i="2"/>
  <c r="R168" i="2"/>
  <c r="Q168" i="2"/>
  <c r="P168" i="2"/>
  <c r="N168" i="2"/>
  <c r="M168" i="2"/>
  <c r="L168" i="2"/>
  <c r="K168" i="2"/>
  <c r="J168" i="2"/>
  <c r="I168" i="2"/>
  <c r="H168" i="2"/>
  <c r="E211" i="2"/>
  <c r="D211" i="2"/>
  <c r="F211" i="2" s="1"/>
  <c r="Z167" i="2"/>
  <c r="Y167" i="2"/>
  <c r="X167" i="2"/>
  <c r="W167" i="2"/>
  <c r="V167" i="2"/>
  <c r="U167" i="2"/>
  <c r="T167" i="2"/>
  <c r="S167" i="2"/>
  <c r="R167" i="2"/>
  <c r="Q167" i="2"/>
  <c r="P167" i="2"/>
  <c r="N167" i="2"/>
  <c r="M167" i="2"/>
  <c r="L167" i="2"/>
  <c r="K167" i="2"/>
  <c r="J167" i="2"/>
  <c r="I167" i="2"/>
  <c r="H167" i="2"/>
  <c r="D43" i="2"/>
  <c r="F43" i="2" s="1"/>
  <c r="Z166" i="2"/>
  <c r="Y166" i="2"/>
  <c r="X166" i="2"/>
  <c r="W166" i="2"/>
  <c r="V166" i="2"/>
  <c r="U166" i="2"/>
  <c r="T166" i="2"/>
  <c r="S166" i="2"/>
  <c r="R166" i="2"/>
  <c r="Q166" i="2"/>
  <c r="P166" i="2"/>
  <c r="N166" i="2"/>
  <c r="M166" i="2"/>
  <c r="L166" i="2"/>
  <c r="K166" i="2"/>
  <c r="J166" i="2"/>
  <c r="I166" i="2"/>
  <c r="H166" i="2"/>
  <c r="D102" i="2"/>
  <c r="F102" i="2" s="1"/>
  <c r="P165" i="2"/>
  <c r="D139" i="2"/>
  <c r="F139" i="2" s="1"/>
  <c r="P164" i="2"/>
  <c r="D101" i="2"/>
  <c r="F101" i="2" s="1"/>
  <c r="Z163" i="2"/>
  <c r="Y163" i="2"/>
  <c r="X163" i="2"/>
  <c r="W163" i="2"/>
  <c r="V163" i="2"/>
  <c r="U163" i="2"/>
  <c r="T163" i="2"/>
  <c r="S163" i="2"/>
  <c r="R163" i="2"/>
  <c r="Q163" i="2"/>
  <c r="P163" i="2"/>
  <c r="E163" i="2" s="1"/>
  <c r="N163" i="2"/>
  <c r="M163" i="2"/>
  <c r="L163" i="2"/>
  <c r="K163" i="2"/>
  <c r="J163" i="2"/>
  <c r="I163" i="2"/>
  <c r="H163" i="2"/>
  <c r="E210" i="2"/>
  <c r="D210" i="2"/>
  <c r="F210" i="2" s="1"/>
  <c r="P162" i="2"/>
  <c r="E179" i="2"/>
  <c r="D179" i="2"/>
  <c r="F179" i="2" s="1"/>
  <c r="P161" i="2"/>
  <c r="D42" i="2"/>
  <c r="F42" i="2" s="1"/>
  <c r="Z160" i="2"/>
  <c r="Y160" i="2"/>
  <c r="X160" i="2"/>
  <c r="W160" i="2"/>
  <c r="V160" i="2"/>
  <c r="U160" i="2"/>
  <c r="T160" i="2"/>
  <c r="S160" i="2"/>
  <c r="R160" i="2"/>
  <c r="Q160" i="2"/>
  <c r="P160" i="2"/>
  <c r="N160" i="2"/>
  <c r="M160" i="2"/>
  <c r="L160" i="2"/>
  <c r="K160" i="2"/>
  <c r="J160" i="2"/>
  <c r="I160" i="2"/>
  <c r="H160" i="2"/>
  <c r="D41" i="2"/>
  <c r="F41" i="2" s="1"/>
  <c r="P159" i="2"/>
  <c r="D160" i="2"/>
  <c r="F160" i="2" s="1"/>
  <c r="P158" i="2"/>
  <c r="D59" i="2"/>
  <c r="F59" i="2" s="1"/>
  <c r="Z157" i="2"/>
  <c r="Y157" i="2"/>
  <c r="X157" i="2"/>
  <c r="W157" i="2"/>
  <c r="V157" i="2"/>
  <c r="U157" i="2"/>
  <c r="T157" i="2"/>
  <c r="S157" i="2"/>
  <c r="R157" i="2"/>
  <c r="Q157" i="2"/>
  <c r="P157" i="2"/>
  <c r="N157" i="2"/>
  <c r="M157" i="2"/>
  <c r="L157" i="2"/>
  <c r="K157" i="2"/>
  <c r="J157" i="2"/>
  <c r="I157" i="2"/>
  <c r="H157" i="2"/>
  <c r="D77" i="2"/>
  <c r="F77" i="2" s="1"/>
  <c r="Z156" i="2"/>
  <c r="Y156" i="2"/>
  <c r="X156" i="2"/>
  <c r="W156" i="2"/>
  <c r="V156" i="2"/>
  <c r="U156" i="2"/>
  <c r="T156" i="2"/>
  <c r="S156" i="2"/>
  <c r="R156" i="2"/>
  <c r="Q156" i="2"/>
  <c r="P156" i="2"/>
  <c r="N156" i="2"/>
  <c r="M156" i="2"/>
  <c r="L156" i="2"/>
  <c r="K156" i="2"/>
  <c r="J156" i="2"/>
  <c r="I156" i="2"/>
  <c r="H156" i="2"/>
  <c r="D76" i="2"/>
  <c r="F76" i="2" s="1"/>
  <c r="Z155" i="2"/>
  <c r="Y155" i="2"/>
  <c r="X155" i="2"/>
  <c r="W155" i="2"/>
  <c r="V155" i="2"/>
  <c r="U155" i="2"/>
  <c r="T155" i="2"/>
  <c r="S155" i="2"/>
  <c r="R155" i="2"/>
  <c r="Q155" i="2"/>
  <c r="P155" i="2"/>
  <c r="N155" i="2"/>
  <c r="M155" i="2"/>
  <c r="L155" i="2"/>
  <c r="K155" i="2"/>
  <c r="J155" i="2"/>
  <c r="I155" i="2"/>
  <c r="H155" i="2"/>
  <c r="D40" i="2"/>
  <c r="F40" i="2" s="1"/>
  <c r="Z154" i="2"/>
  <c r="Y154" i="2"/>
  <c r="X154" i="2"/>
  <c r="W154" i="2"/>
  <c r="V154" i="2"/>
  <c r="U154" i="2"/>
  <c r="T154" i="2"/>
  <c r="S154" i="2"/>
  <c r="R154" i="2"/>
  <c r="Q154" i="2"/>
  <c r="P154" i="2"/>
  <c r="N154" i="2"/>
  <c r="M154" i="2"/>
  <c r="L154" i="2"/>
  <c r="K154" i="2"/>
  <c r="J154" i="2"/>
  <c r="I154" i="2"/>
  <c r="H154" i="2"/>
  <c r="D100" i="2"/>
  <c r="F100" i="2" s="1"/>
  <c r="P153" i="2"/>
  <c r="D159" i="2"/>
  <c r="F159" i="2" s="1"/>
  <c r="P152" i="2"/>
  <c r="D39" i="2"/>
  <c r="F39" i="2" s="1"/>
  <c r="Z151" i="2"/>
  <c r="Y151" i="2"/>
  <c r="X151" i="2"/>
  <c r="W151" i="2"/>
  <c r="V151" i="2"/>
  <c r="U151" i="2"/>
  <c r="T151" i="2"/>
  <c r="S151" i="2"/>
  <c r="R151" i="2"/>
  <c r="Q151" i="2"/>
  <c r="P151" i="2"/>
  <c r="N151" i="2"/>
  <c r="M151" i="2"/>
  <c r="L151" i="2"/>
  <c r="K151" i="2"/>
  <c r="J151" i="2"/>
  <c r="I151" i="2"/>
  <c r="H151" i="2"/>
  <c r="D38" i="2"/>
  <c r="F38" i="2" s="1"/>
  <c r="P150" i="2"/>
  <c r="D37" i="2"/>
  <c r="F37" i="2" s="1"/>
  <c r="P149" i="2"/>
  <c r="D99" i="2"/>
  <c r="F99" i="2" s="1"/>
  <c r="P148" i="2"/>
  <c r="D98" i="2"/>
  <c r="F98" i="2" s="1"/>
  <c r="P147" i="2"/>
  <c r="D97" i="2"/>
  <c r="F97" i="2" s="1"/>
  <c r="Z146" i="2"/>
  <c r="Y146" i="2"/>
  <c r="X146" i="2"/>
  <c r="W146" i="2"/>
  <c r="V146" i="2"/>
  <c r="U146" i="2"/>
  <c r="T146" i="2"/>
  <c r="S146" i="2"/>
  <c r="R146" i="2"/>
  <c r="Q146" i="2"/>
  <c r="P146" i="2"/>
  <c r="N146" i="2"/>
  <c r="M146" i="2"/>
  <c r="L146" i="2"/>
  <c r="K146" i="2"/>
  <c r="J146" i="2"/>
  <c r="I146" i="2"/>
  <c r="H146" i="2"/>
  <c r="D96" i="2"/>
  <c r="F96" i="2" s="1"/>
  <c r="P145" i="2"/>
  <c r="D158" i="2"/>
  <c r="F158" i="2" s="1"/>
  <c r="G2" i="1"/>
  <c r="E216" i="2" l="1"/>
  <c r="E213" i="2"/>
  <c r="E182" i="2"/>
  <c r="E160" i="2"/>
  <c r="E166" i="2"/>
  <c r="E183" i="2"/>
  <c r="Y147" i="2"/>
  <c r="Y145" i="2"/>
  <c r="W210" i="2"/>
  <c r="Z219" i="2"/>
  <c r="Z147" i="2"/>
  <c r="K145" i="2"/>
  <c r="Z211" i="2"/>
  <c r="U212" i="2"/>
  <c r="V145" i="2"/>
  <c r="T209" i="2"/>
  <c r="W194" i="2"/>
  <c r="S145" i="2"/>
  <c r="V183" i="2"/>
  <c r="I147" i="2"/>
  <c r="R147" i="2"/>
  <c r="L145" i="2"/>
  <c r="U145" i="2"/>
  <c r="J147" i="2"/>
  <c r="S147" i="2"/>
  <c r="N183" i="2"/>
  <c r="W183" i="2"/>
  <c r="X194" i="2"/>
  <c r="L209" i="2"/>
  <c r="U209" i="2"/>
  <c r="X210" i="2"/>
  <c r="J211" i="2"/>
  <c r="S211" i="2"/>
  <c r="M212" i="2"/>
  <c r="V212" i="2"/>
  <c r="J219" i="2"/>
  <c r="S219" i="2"/>
  <c r="K147" i="2"/>
  <c r="T147" i="2"/>
  <c r="X183" i="2"/>
  <c r="H194" i="2"/>
  <c r="Q194" i="2"/>
  <c r="Y194" i="2"/>
  <c r="M209" i="2"/>
  <c r="V209" i="2"/>
  <c r="H210" i="2"/>
  <c r="Q210" i="2"/>
  <c r="Y210" i="2"/>
  <c r="K211" i="2"/>
  <c r="T211" i="2"/>
  <c r="N212" i="2"/>
  <c r="W212" i="2"/>
  <c r="K219" i="2"/>
  <c r="T219" i="2"/>
  <c r="M145" i="2"/>
  <c r="N145" i="2"/>
  <c r="W145" i="2"/>
  <c r="L147" i="2"/>
  <c r="U147" i="2"/>
  <c r="H183" i="2"/>
  <c r="Q183" i="2"/>
  <c r="Y183" i="2"/>
  <c r="I194" i="2"/>
  <c r="R194" i="2"/>
  <c r="Z194" i="2"/>
  <c r="N209" i="2"/>
  <c r="W209" i="2"/>
  <c r="I210" i="2"/>
  <c r="R210" i="2"/>
  <c r="Z210" i="2"/>
  <c r="L211" i="2"/>
  <c r="U211" i="2"/>
  <c r="X212" i="2"/>
  <c r="L219" i="2"/>
  <c r="U219" i="2"/>
  <c r="T145" i="2"/>
  <c r="X145" i="2"/>
  <c r="M147" i="2"/>
  <c r="V147" i="2"/>
  <c r="I183" i="2"/>
  <c r="R183" i="2"/>
  <c r="Z183" i="2"/>
  <c r="J194" i="2"/>
  <c r="S194" i="2"/>
  <c r="X209" i="2"/>
  <c r="J210" i="2"/>
  <c r="S210" i="2"/>
  <c r="M211" i="2"/>
  <c r="V211" i="2"/>
  <c r="H212" i="2"/>
  <c r="Q212" i="2"/>
  <c r="Y212" i="2"/>
  <c r="M219" i="2"/>
  <c r="V219" i="2"/>
  <c r="N147" i="2"/>
  <c r="W147" i="2"/>
  <c r="J183" i="2"/>
  <c r="S183" i="2"/>
  <c r="K194" i="2"/>
  <c r="T194" i="2"/>
  <c r="H209" i="2"/>
  <c r="Q209" i="2"/>
  <c r="Y209" i="2"/>
  <c r="K210" i="2"/>
  <c r="T210" i="2"/>
  <c r="N211" i="2"/>
  <c r="W211" i="2"/>
  <c r="I212" i="2"/>
  <c r="R212" i="2"/>
  <c r="Z212" i="2"/>
  <c r="N219" i="2"/>
  <c r="W219" i="2"/>
  <c r="H145" i="2"/>
  <c r="Q145" i="2"/>
  <c r="I145" i="2"/>
  <c r="R145" i="2"/>
  <c r="Z145" i="2"/>
  <c r="X147" i="2"/>
  <c r="K183" i="2"/>
  <c r="T183" i="2"/>
  <c r="L194" i="2"/>
  <c r="U194" i="2"/>
  <c r="I209" i="2"/>
  <c r="R209" i="2"/>
  <c r="Z209" i="2"/>
  <c r="L210" i="2"/>
  <c r="U210" i="2"/>
  <c r="X211" i="2"/>
  <c r="J212" i="2"/>
  <c r="S212" i="2"/>
  <c r="X219" i="2"/>
  <c r="J145" i="2"/>
  <c r="H147" i="2"/>
  <c r="Q147" i="2"/>
  <c r="L183" i="2"/>
  <c r="U183" i="2"/>
  <c r="M194" i="2"/>
  <c r="V194" i="2"/>
  <c r="J209" i="2"/>
  <c r="S209" i="2"/>
  <c r="M210" i="2"/>
  <c r="V210" i="2"/>
  <c r="H211" i="2"/>
  <c r="Q211" i="2"/>
  <c r="Y211" i="2"/>
  <c r="K212" i="2"/>
  <c r="T212" i="2"/>
  <c r="H219" i="2"/>
  <c r="Q219" i="2"/>
  <c r="Y219" i="2"/>
  <c r="M183" i="2"/>
  <c r="N194" i="2"/>
  <c r="K209" i="2"/>
  <c r="N210" i="2"/>
  <c r="I211" i="2"/>
  <c r="R211" i="2"/>
  <c r="L212" i="2"/>
  <c r="I219" i="2"/>
  <c r="R219" i="2"/>
  <c r="B18" i="2"/>
  <c r="A18" i="2"/>
  <c r="A73" i="2"/>
  <c r="B84" i="2"/>
  <c r="A84" i="2"/>
  <c r="B122" i="2"/>
  <c r="A122" i="2"/>
  <c r="B69" i="2"/>
  <c r="A69" i="2"/>
  <c r="B192" i="2"/>
  <c r="A192" i="2"/>
  <c r="B128" i="2"/>
  <c r="A128" i="2"/>
  <c r="B126" i="2"/>
  <c r="A126" i="2"/>
  <c r="B203" i="2"/>
  <c r="A203" i="2"/>
  <c r="B130" i="2"/>
  <c r="A130" i="2"/>
  <c r="B152" i="2"/>
  <c r="A152" i="2"/>
  <c r="B57" i="2"/>
  <c r="A57" i="2"/>
  <c r="B31" i="2"/>
  <c r="A31" i="2"/>
  <c r="B199" i="2"/>
  <c r="A199" i="2"/>
  <c r="B186" i="2"/>
  <c r="A186" i="2"/>
  <c r="B36" i="2"/>
  <c r="A36" i="2"/>
  <c r="B35" i="2"/>
  <c r="A35" i="2"/>
  <c r="B151" i="2"/>
  <c r="A151" i="2"/>
  <c r="B95" i="2"/>
  <c r="A95" i="2"/>
  <c r="B198" i="2"/>
  <c r="A198" i="2"/>
  <c r="B153" i="2"/>
  <c r="A153" i="2"/>
  <c r="B26" i="2"/>
  <c r="A26" i="2"/>
  <c r="B93" i="2"/>
  <c r="A93" i="2"/>
  <c r="B149" i="2"/>
  <c r="A149" i="2"/>
  <c r="B30" i="2"/>
  <c r="A30" i="2"/>
  <c r="B85" i="2"/>
  <c r="A85" i="2"/>
  <c r="B173" i="2"/>
  <c r="A173" i="2"/>
  <c r="B20" i="2"/>
  <c r="A20" i="2"/>
  <c r="B34" i="2"/>
  <c r="A34" i="2"/>
  <c r="B75" i="2"/>
  <c r="A75" i="2"/>
  <c r="B208" i="2"/>
  <c r="A208" i="2"/>
  <c r="B147" i="2"/>
  <c r="A147" i="2"/>
  <c r="B81" i="2"/>
  <c r="A81" i="2"/>
  <c r="B178" i="2"/>
  <c r="A178" i="2"/>
  <c r="B27" i="2"/>
  <c r="A27" i="2"/>
  <c r="B73" i="2"/>
  <c r="B193" i="2"/>
  <c r="A193" i="2"/>
  <c r="B168" i="2"/>
  <c r="A168" i="2"/>
  <c r="B14" i="2"/>
  <c r="A14" i="2"/>
  <c r="B127" i="2"/>
  <c r="A127" i="2"/>
  <c r="B17" i="2"/>
  <c r="A17" i="2"/>
  <c r="B191" i="2"/>
  <c r="A191" i="2"/>
  <c r="B55" i="2"/>
  <c r="A55" i="2"/>
  <c r="B7" i="2"/>
  <c r="A7" i="2"/>
  <c r="B148" i="2"/>
  <c r="A148" i="2"/>
  <c r="B2" i="2"/>
  <c r="A2" i="2"/>
  <c r="B22" i="2"/>
  <c r="A22" i="2"/>
  <c r="B185" i="2"/>
  <c r="A185" i="2"/>
  <c r="B175" i="2"/>
  <c r="A175" i="2"/>
  <c r="B196" i="2"/>
  <c r="A196" i="2"/>
  <c r="B156" i="2"/>
  <c r="A156" i="2"/>
  <c r="B80" i="2"/>
  <c r="A80" i="2"/>
  <c r="B15" i="2"/>
  <c r="A15" i="2"/>
  <c r="B13" i="2"/>
  <c r="A13" i="2"/>
  <c r="B145" i="2"/>
  <c r="A145" i="2"/>
  <c r="B204" i="2"/>
  <c r="A204" i="2"/>
  <c r="B174" i="2"/>
  <c r="A174" i="2"/>
  <c r="B167" i="2"/>
  <c r="A167" i="2"/>
  <c r="P144" i="2"/>
  <c r="D84" i="2"/>
  <c r="F84" i="2" s="1"/>
  <c r="P143" i="2"/>
  <c r="D122" i="2"/>
  <c r="F122" i="2" s="1"/>
  <c r="P142" i="2"/>
  <c r="E142" i="2" s="1"/>
  <c r="D69" i="2"/>
  <c r="F69" i="2" s="1"/>
  <c r="P141" i="2"/>
  <c r="E141" i="2" s="1"/>
  <c r="D192" i="2"/>
  <c r="F192" i="2" s="1"/>
  <c r="P140" i="2"/>
  <c r="E140" i="2" s="1"/>
  <c r="D128" i="2"/>
  <c r="F128" i="2" s="1"/>
  <c r="P139" i="2"/>
  <c r="E139" i="2" s="1"/>
  <c r="P138" i="2"/>
  <c r="D126" i="2"/>
  <c r="F126" i="2" s="1"/>
  <c r="P137" i="2"/>
  <c r="D203" i="2"/>
  <c r="F203" i="2" s="1"/>
  <c r="P136" i="2"/>
  <c r="D130" i="2"/>
  <c r="F130" i="2" s="1"/>
  <c r="P135" i="2"/>
  <c r="D152" i="2"/>
  <c r="F152" i="2" s="1"/>
  <c r="P134" i="2"/>
  <c r="D57" i="2"/>
  <c r="F57" i="2" s="1"/>
  <c r="P133" i="2"/>
  <c r="D31" i="2"/>
  <c r="F31" i="2" s="1"/>
  <c r="P132" i="2"/>
  <c r="D199" i="2"/>
  <c r="F199" i="2" s="1"/>
  <c r="P131" i="2"/>
  <c r="D186" i="2"/>
  <c r="P130" i="2"/>
  <c r="D36" i="2"/>
  <c r="F36" i="2" s="1"/>
  <c r="P129" i="2"/>
  <c r="D35" i="2"/>
  <c r="F35" i="2" s="1"/>
  <c r="P128" i="2"/>
  <c r="D151" i="2"/>
  <c r="F151" i="2" s="1"/>
  <c r="P127" i="2"/>
  <c r="D95" i="2"/>
  <c r="F95" i="2" s="1"/>
  <c r="P126" i="2"/>
  <c r="D198" i="2"/>
  <c r="F198" i="2" s="1"/>
  <c r="P125" i="2"/>
  <c r="D153" i="2"/>
  <c r="F153" i="2" s="1"/>
  <c r="P124" i="2"/>
  <c r="D26" i="2"/>
  <c r="F26" i="2" s="1"/>
  <c r="P123" i="2"/>
  <c r="D93" i="2"/>
  <c r="P122" i="2"/>
  <c r="D149" i="2"/>
  <c r="F149" i="2" s="1"/>
  <c r="P121" i="2"/>
  <c r="D30" i="2"/>
  <c r="F30" i="2" s="1"/>
  <c r="P120" i="2"/>
  <c r="D85" i="2"/>
  <c r="F85" i="2" s="1"/>
  <c r="P119" i="2"/>
  <c r="D173" i="2"/>
  <c r="F173" i="2" s="1"/>
  <c r="P118" i="2"/>
  <c r="D20" i="2"/>
  <c r="F20" i="2" s="1"/>
  <c r="P117" i="2"/>
  <c r="D34" i="2"/>
  <c r="F34" i="2" s="1"/>
  <c r="P116" i="2"/>
  <c r="D75" i="2"/>
  <c r="F75" i="2" s="1"/>
  <c r="P115" i="2"/>
  <c r="D208" i="2"/>
  <c r="F208" i="2" s="1"/>
  <c r="P114" i="2"/>
  <c r="D147" i="2"/>
  <c r="F147" i="2" s="1"/>
  <c r="P113" i="2"/>
  <c r="E113" i="2" s="1"/>
  <c r="D81" i="2"/>
  <c r="F81" i="2" s="1"/>
  <c r="P112" i="2"/>
  <c r="D178" i="2"/>
  <c r="F178" i="2" s="1"/>
  <c r="P111" i="2"/>
  <c r="D27" i="2"/>
  <c r="F27" i="2" s="1"/>
  <c r="P110" i="2"/>
  <c r="D73" i="2"/>
  <c r="F73" i="2" s="1"/>
  <c r="P109" i="2"/>
  <c r="D193" i="2"/>
  <c r="F193" i="2" s="1"/>
  <c r="P108" i="2"/>
  <c r="E108" i="2" s="1"/>
  <c r="D168" i="2"/>
  <c r="F168" i="2" s="1"/>
  <c r="P107" i="2"/>
  <c r="E107" i="2" s="1"/>
  <c r="D14" i="2"/>
  <c r="F14" i="2" s="1"/>
  <c r="P106" i="2"/>
  <c r="D127" i="2"/>
  <c r="F127" i="2" s="1"/>
  <c r="P105" i="2"/>
  <c r="D18" i="2"/>
  <c r="F18" i="2" s="1"/>
  <c r="P104" i="2"/>
  <c r="E104" i="2" s="1"/>
  <c r="D17" i="2"/>
  <c r="F17" i="2" s="1"/>
  <c r="P103" i="2"/>
  <c r="D191" i="2"/>
  <c r="F191" i="2" s="1"/>
  <c r="P102" i="2"/>
  <c r="E102" i="2" s="1"/>
  <c r="D55" i="2"/>
  <c r="F55" i="2" s="1"/>
  <c r="P101" i="2"/>
  <c r="D7" i="2"/>
  <c r="F7" i="2" s="1"/>
  <c r="P100" i="2"/>
  <c r="D148" i="2"/>
  <c r="F148" i="2" s="1"/>
  <c r="P99" i="2"/>
  <c r="D2" i="2"/>
  <c r="F2" i="2" s="1"/>
  <c r="P98" i="2"/>
  <c r="D22" i="2"/>
  <c r="F22" i="2" s="1"/>
  <c r="P97" i="2"/>
  <c r="D185" i="2"/>
  <c r="F185" i="2" s="1"/>
  <c r="P96" i="2"/>
  <c r="E96" i="2" s="1"/>
  <c r="D175" i="2"/>
  <c r="F175" i="2" s="1"/>
  <c r="P95" i="2"/>
  <c r="D196" i="2"/>
  <c r="F196" i="2" s="1"/>
  <c r="P94" i="2"/>
  <c r="D156" i="2"/>
  <c r="F156" i="2" s="1"/>
  <c r="P93" i="2"/>
  <c r="D80" i="2"/>
  <c r="F80" i="2" s="1"/>
  <c r="P92" i="2"/>
  <c r="D15" i="2"/>
  <c r="F15" i="2" s="1"/>
  <c r="P91" i="2"/>
  <c r="D13" i="2"/>
  <c r="F13" i="2" s="1"/>
  <c r="P90" i="2"/>
  <c r="D145" i="2"/>
  <c r="F145" i="2" s="1"/>
  <c r="P89" i="2"/>
  <c r="D204" i="2"/>
  <c r="F204" i="2" s="1"/>
  <c r="P88" i="2"/>
  <c r="D174" i="2"/>
  <c r="F174" i="2" s="1"/>
  <c r="P87" i="2"/>
  <c r="D167" i="2"/>
  <c r="F167" i="2" s="1"/>
  <c r="P86" i="2"/>
  <c r="E215" i="2" s="1"/>
  <c r="B12" i="2"/>
  <c r="A12" i="2"/>
  <c r="B206" i="2"/>
  <c r="A206" i="2"/>
  <c r="B136" i="2"/>
  <c r="A136" i="2"/>
  <c r="B86" i="2"/>
  <c r="A86" i="2"/>
  <c r="B209" i="2"/>
  <c r="A209" i="2"/>
  <c r="B150" i="2"/>
  <c r="A150" i="2"/>
  <c r="B71" i="2"/>
  <c r="A71" i="2"/>
  <c r="B8" i="2"/>
  <c r="A8" i="2"/>
  <c r="B56" i="2"/>
  <c r="A56" i="2"/>
  <c r="B94" i="2"/>
  <c r="A94" i="2"/>
  <c r="B89" i="2"/>
  <c r="A89" i="2"/>
  <c r="B187" i="2"/>
  <c r="A187" i="2"/>
  <c r="B24" i="2"/>
  <c r="A24" i="2"/>
  <c r="B16" i="2"/>
  <c r="A16" i="2"/>
  <c r="B29" i="2"/>
  <c r="A29" i="2"/>
  <c r="B170" i="2"/>
  <c r="A170" i="2"/>
  <c r="B82" i="2"/>
  <c r="A82" i="2"/>
  <c r="B207" i="2"/>
  <c r="A207" i="2"/>
  <c r="B4" i="2"/>
  <c r="A4" i="2"/>
  <c r="B9" i="2"/>
  <c r="A9" i="2"/>
  <c r="B189" i="2"/>
  <c r="A189" i="2"/>
  <c r="B154" i="2"/>
  <c r="A154" i="2"/>
  <c r="B133" i="2"/>
  <c r="A133" i="2"/>
  <c r="B172" i="2"/>
  <c r="A172" i="2"/>
  <c r="B90" i="2"/>
  <c r="A90" i="2"/>
  <c r="B169" i="2"/>
  <c r="A169" i="2"/>
  <c r="B131" i="2"/>
  <c r="A131" i="2"/>
  <c r="B132" i="2"/>
  <c r="A132" i="2"/>
  <c r="B202" i="2"/>
  <c r="A202" i="2"/>
  <c r="B23" i="2"/>
  <c r="A23" i="2"/>
  <c r="B32" i="2"/>
  <c r="A32" i="2"/>
  <c r="B92" i="2"/>
  <c r="A92" i="2"/>
  <c r="B129" i="2"/>
  <c r="A129" i="2"/>
  <c r="B155" i="2"/>
  <c r="A155" i="2"/>
  <c r="B74" i="2"/>
  <c r="A74" i="2"/>
  <c r="B124" i="2"/>
  <c r="A124" i="2"/>
  <c r="B117" i="2"/>
  <c r="A117" i="2"/>
  <c r="B58" i="2"/>
  <c r="A58" i="2"/>
  <c r="B125" i="2"/>
  <c r="A125" i="2"/>
  <c r="B190" i="2"/>
  <c r="A190" i="2"/>
  <c r="B134" i="2"/>
  <c r="A134" i="2"/>
  <c r="B120" i="2"/>
  <c r="A120" i="2"/>
  <c r="B70" i="2"/>
  <c r="A70" i="2"/>
  <c r="B87" i="2"/>
  <c r="A87" i="2"/>
  <c r="B197" i="2"/>
  <c r="A197" i="2"/>
  <c r="B123" i="2"/>
  <c r="A123" i="2"/>
  <c r="B138" i="2"/>
  <c r="A138" i="2"/>
  <c r="B19" i="2"/>
  <c r="A19" i="2"/>
  <c r="B200" i="2"/>
  <c r="A200" i="2"/>
  <c r="B121" i="2"/>
  <c r="A121" i="2"/>
  <c r="B177" i="2"/>
  <c r="A177" i="2"/>
  <c r="B10" i="2"/>
  <c r="A10" i="2"/>
  <c r="B25" i="2"/>
  <c r="A25" i="2"/>
  <c r="B201" i="2"/>
  <c r="A201" i="2"/>
  <c r="B3" i="2"/>
  <c r="A3" i="2"/>
  <c r="B188" i="2"/>
  <c r="A188" i="2"/>
  <c r="B157" i="2"/>
  <c r="A157" i="2"/>
  <c r="B135" i="2"/>
  <c r="A135" i="2"/>
  <c r="B68" i="2"/>
  <c r="A68" i="2"/>
  <c r="B21" i="2"/>
  <c r="A21" i="2"/>
  <c r="B5" i="2"/>
  <c r="A5" i="2"/>
  <c r="B66" i="2"/>
  <c r="A66" i="2"/>
  <c r="B28" i="2"/>
  <c r="A28" i="2"/>
  <c r="B6" i="2"/>
  <c r="A6" i="2"/>
  <c r="B67" i="2"/>
  <c r="A67" i="2"/>
  <c r="B91" i="2"/>
  <c r="A91" i="2"/>
  <c r="B83" i="2"/>
  <c r="A83" i="2"/>
  <c r="B119" i="2"/>
  <c r="A119" i="2"/>
  <c r="B171" i="2"/>
  <c r="A171" i="2"/>
  <c r="B53" i="2"/>
  <c r="A53" i="2"/>
  <c r="B176" i="2"/>
  <c r="A176" i="2"/>
  <c r="B88" i="2"/>
  <c r="A88" i="2"/>
  <c r="B118" i="2"/>
  <c r="A118" i="2"/>
  <c r="B144" i="2"/>
  <c r="A144" i="2"/>
  <c r="B205" i="2"/>
  <c r="A205" i="2"/>
  <c r="B194" i="2"/>
  <c r="A194" i="2"/>
  <c r="B137" i="2"/>
  <c r="A137" i="2"/>
  <c r="B54" i="2"/>
  <c r="A54" i="2"/>
  <c r="B115" i="2"/>
  <c r="A115" i="2"/>
  <c r="B146" i="2"/>
  <c r="A146" i="2"/>
  <c r="B33" i="2"/>
  <c r="A33" i="2"/>
  <c r="B72" i="2"/>
  <c r="A72" i="2"/>
  <c r="B114" i="2"/>
  <c r="A114" i="2"/>
  <c r="B116" i="2"/>
  <c r="A116" i="2"/>
  <c r="B11" i="2"/>
  <c r="A11" i="2"/>
  <c r="B3" i="8"/>
  <c r="P70" i="2"/>
  <c r="E161" i="2" s="1"/>
  <c r="P4" i="2"/>
  <c r="D114" i="2"/>
  <c r="F114" i="2" s="1"/>
  <c r="P39" i="2"/>
  <c r="D19" i="2"/>
  <c r="F19" i="2" s="1"/>
  <c r="D86" i="2"/>
  <c r="F86" i="2" s="1"/>
  <c r="D136" i="2"/>
  <c r="F136" i="2" s="1"/>
  <c r="E93" i="2" l="1"/>
  <c r="E156" i="2"/>
  <c r="E204" i="2"/>
  <c r="E208" i="2"/>
  <c r="F93" i="2"/>
  <c r="F186" i="2"/>
  <c r="D24" i="2" l="1"/>
  <c r="F24" i="2" s="1"/>
  <c r="P80" i="2"/>
  <c r="D9" i="2"/>
  <c r="F9" i="2" s="1"/>
  <c r="P72" i="2"/>
  <c r="D12" i="2"/>
  <c r="F12" i="2" s="1"/>
  <c r="D206" i="2"/>
  <c r="F206" i="2" s="1"/>
  <c r="D209" i="2"/>
  <c r="F209" i="2" s="1"/>
  <c r="P85" i="2"/>
  <c r="D150" i="2"/>
  <c r="F150" i="2" s="1"/>
  <c r="D71" i="2"/>
  <c r="F71" i="2" s="1"/>
  <c r="P84" i="2"/>
  <c r="D8" i="2"/>
  <c r="F8" i="2" s="1"/>
  <c r="P83" i="2"/>
  <c r="E109" i="2" s="1"/>
  <c r="D56" i="2"/>
  <c r="F56" i="2" s="1"/>
  <c r="D94" i="2"/>
  <c r="F94" i="2" s="1"/>
  <c r="P82" i="2"/>
  <c r="D89" i="2"/>
  <c r="F89" i="2" s="1"/>
  <c r="P81" i="2"/>
  <c r="D187" i="2"/>
  <c r="D16" i="2"/>
  <c r="F16" i="2" s="1"/>
  <c r="P79" i="2"/>
  <c r="D29" i="2"/>
  <c r="P78" i="2"/>
  <c r="D170" i="2"/>
  <c r="F170" i="2" s="1"/>
  <c r="D82" i="2"/>
  <c r="F82" i="2" s="1"/>
  <c r="P77" i="2"/>
  <c r="E77" i="2" s="1"/>
  <c r="P76" i="2"/>
  <c r="E76" i="2" s="1"/>
  <c r="P75" i="2"/>
  <c r="P74" i="2"/>
  <c r="D207" i="2"/>
  <c r="D4" i="2"/>
  <c r="F4" i="2" s="1"/>
  <c r="P73" i="2"/>
  <c r="D189" i="2"/>
  <c r="P71" i="2"/>
  <c r="E217" i="2" s="1"/>
  <c r="D154" i="2"/>
  <c r="F154" i="2" s="1"/>
  <c r="P69" i="2"/>
  <c r="D133" i="2"/>
  <c r="F133" i="2" s="1"/>
  <c r="P68" i="2"/>
  <c r="P67" i="2"/>
  <c r="E164" i="2" s="1"/>
  <c r="P66" i="2"/>
  <c r="E181" i="2" s="1"/>
  <c r="P65" i="2"/>
  <c r="P64" i="2"/>
  <c r="E64" i="2" s="1"/>
  <c r="D172" i="2"/>
  <c r="F172" i="2" s="1"/>
  <c r="P63" i="2"/>
  <c r="E63" i="2" s="1"/>
  <c r="D90" i="2"/>
  <c r="F90" i="2" s="1"/>
  <c r="P62" i="2"/>
  <c r="E62" i="2" s="1"/>
  <c r="D169" i="2"/>
  <c r="F169" i="2" s="1"/>
  <c r="P61" i="2"/>
  <c r="D131" i="2"/>
  <c r="F131" i="2" s="1"/>
  <c r="P60" i="2"/>
  <c r="E60" i="2" s="1"/>
  <c r="D132" i="2"/>
  <c r="F132" i="2" s="1"/>
  <c r="P59" i="2"/>
  <c r="D202" i="2"/>
  <c r="F202" i="2" s="1"/>
  <c r="P58" i="2"/>
  <c r="E212" i="2" s="1"/>
  <c r="D23" i="2"/>
  <c r="F23" i="2" s="1"/>
  <c r="D32" i="2"/>
  <c r="F32" i="2" s="1"/>
  <c r="P57" i="2"/>
  <c r="D92" i="2"/>
  <c r="F92" i="2" s="1"/>
  <c r="P56" i="2"/>
  <c r="E39" i="2" s="1"/>
  <c r="D129" i="2"/>
  <c r="F129" i="2" s="1"/>
  <c r="P55" i="2"/>
  <c r="D155" i="2"/>
  <c r="P54" i="2"/>
  <c r="E195" i="2" s="1"/>
  <c r="D74" i="2"/>
  <c r="P53" i="2"/>
  <c r="P52" i="2"/>
  <c r="E52" i="2" s="1"/>
  <c r="D124" i="2"/>
  <c r="F124" i="2" s="1"/>
  <c r="P51" i="2"/>
  <c r="E51" i="2" s="1"/>
  <c r="D117" i="2"/>
  <c r="F117" i="2" s="1"/>
  <c r="P50" i="2"/>
  <c r="E50" i="2" s="1"/>
  <c r="D58" i="2"/>
  <c r="F58" i="2" s="1"/>
  <c r="P49" i="2"/>
  <c r="E49" i="2" s="1"/>
  <c r="D125" i="2"/>
  <c r="F125" i="2" s="1"/>
  <c r="P48" i="2"/>
  <c r="E48" i="2" s="1"/>
  <c r="D190" i="2"/>
  <c r="F190" i="2" s="1"/>
  <c r="P47" i="2"/>
  <c r="D134" i="2"/>
  <c r="P46" i="2"/>
  <c r="D120" i="2"/>
  <c r="P45" i="2"/>
  <c r="D70" i="2"/>
  <c r="F70" i="2" s="1"/>
  <c r="P44" i="2"/>
  <c r="E44" i="2" s="1"/>
  <c r="D87" i="2"/>
  <c r="F87" i="2" s="1"/>
  <c r="P43" i="2"/>
  <c r="E43" i="2" s="1"/>
  <c r="D197" i="2"/>
  <c r="F197" i="2" s="1"/>
  <c r="P42" i="2"/>
  <c r="D123" i="2"/>
  <c r="F123" i="2" s="1"/>
  <c r="P41" i="2"/>
  <c r="E162" i="2" s="1"/>
  <c r="D138" i="2"/>
  <c r="P40" i="2"/>
  <c r="E40" i="2" s="1"/>
  <c r="D200" i="2"/>
  <c r="F200" i="2" s="1"/>
  <c r="P38" i="2"/>
  <c r="E38" i="2" s="1"/>
  <c r="D121" i="2"/>
  <c r="P37" i="2"/>
  <c r="D177" i="2"/>
  <c r="F177" i="2" s="1"/>
  <c r="P36" i="2"/>
  <c r="E36" i="2" s="1"/>
  <c r="D10" i="2"/>
  <c r="F10" i="2" s="1"/>
  <c r="P35" i="2"/>
  <c r="D25" i="2"/>
  <c r="F25" i="2" s="1"/>
  <c r="P34" i="2"/>
  <c r="D201" i="2"/>
  <c r="F201" i="2" s="1"/>
  <c r="E145" i="2"/>
  <c r="D3" i="2"/>
  <c r="F3" i="2" s="1"/>
  <c r="P32" i="2"/>
  <c r="E178" i="2" s="1"/>
  <c r="D188" i="2"/>
  <c r="F188" i="2" s="1"/>
  <c r="P31" i="2"/>
  <c r="D157" i="2"/>
  <c r="F157" i="2" s="1"/>
  <c r="P30" i="2"/>
  <c r="D135" i="2"/>
  <c r="F135" i="2" s="1"/>
  <c r="P29" i="2"/>
  <c r="E159" i="2" s="1"/>
  <c r="D68" i="2"/>
  <c r="F68" i="2" s="1"/>
  <c r="D21" i="2"/>
  <c r="F21" i="2" s="1"/>
  <c r="P28" i="2"/>
  <c r="D5" i="2"/>
  <c r="F5" i="2" s="1"/>
  <c r="P27" i="2"/>
  <c r="D66" i="2"/>
  <c r="P26" i="2"/>
  <c r="D28" i="2"/>
  <c r="F28" i="2" s="1"/>
  <c r="P25" i="2"/>
  <c r="P24" i="2"/>
  <c r="D6" i="2"/>
  <c r="F6" i="2" s="1"/>
  <c r="P23" i="2"/>
  <c r="E103" i="2" s="1"/>
  <c r="D67" i="2"/>
  <c r="F67" i="2" s="1"/>
  <c r="P22" i="2"/>
  <c r="D91" i="2"/>
  <c r="F91" i="2" s="1"/>
  <c r="P21" i="2"/>
  <c r="D83" i="2"/>
  <c r="F83" i="2" s="1"/>
  <c r="P20" i="2"/>
  <c r="D119" i="2"/>
  <c r="F119" i="2" s="1"/>
  <c r="P19" i="2"/>
  <c r="E97" i="2" s="1"/>
  <c r="D171" i="2"/>
  <c r="F171" i="2" s="1"/>
  <c r="P18" i="2"/>
  <c r="E158" i="2" s="1"/>
  <c r="D53" i="2"/>
  <c r="P17" i="2"/>
  <c r="P16" i="2"/>
  <c r="E143" i="2" s="1"/>
  <c r="D176" i="2"/>
  <c r="P15" i="2"/>
  <c r="D88" i="2"/>
  <c r="F88" i="2" s="1"/>
  <c r="P14" i="2"/>
  <c r="D118" i="2"/>
  <c r="F118" i="2" s="1"/>
  <c r="P13" i="2"/>
  <c r="D144" i="2"/>
  <c r="F144" i="2" s="1"/>
  <c r="P12" i="2"/>
  <c r="D205" i="2"/>
  <c r="F205" i="2" s="1"/>
  <c r="P11" i="2"/>
  <c r="E100" i="2" s="1"/>
  <c r="D194" i="2"/>
  <c r="F194" i="2" s="1"/>
  <c r="D137" i="2"/>
  <c r="F137" i="2" s="1"/>
  <c r="P10" i="2"/>
  <c r="D54" i="2"/>
  <c r="F54" i="2" s="1"/>
  <c r="P9" i="2"/>
  <c r="D115" i="2"/>
  <c r="P8" i="2"/>
  <c r="D146" i="2"/>
  <c r="F146" i="2" s="1"/>
  <c r="P7" i="2"/>
  <c r="D33" i="2"/>
  <c r="F33" i="2" s="1"/>
  <c r="P6" i="2"/>
  <c r="D72" i="2"/>
  <c r="F72" i="2" s="1"/>
  <c r="P5" i="2"/>
  <c r="D116" i="2"/>
  <c r="F116" i="2" s="1"/>
  <c r="P3" i="2"/>
  <c r="D11" i="2"/>
  <c r="P2" i="2"/>
  <c r="E78" i="2" l="1"/>
  <c r="E45" i="2"/>
  <c r="E73" i="2"/>
  <c r="E105" i="2"/>
  <c r="E184" i="2"/>
  <c r="E112" i="2"/>
  <c r="E61" i="2"/>
  <c r="E101" i="2"/>
  <c r="E99" i="2"/>
  <c r="E79" i="2"/>
  <c r="E165" i="2"/>
  <c r="E110" i="2"/>
  <c r="E47" i="2"/>
  <c r="E106" i="2"/>
  <c r="E59" i="2"/>
  <c r="E65" i="2"/>
  <c r="E42" i="2"/>
  <c r="E37" i="2"/>
  <c r="E98" i="2"/>
  <c r="E41" i="2"/>
  <c r="E31" i="2"/>
  <c r="E168" i="2"/>
  <c r="E46" i="2"/>
  <c r="E111" i="2"/>
  <c r="E34" i="2"/>
  <c r="E152" i="2"/>
  <c r="E75" i="2"/>
  <c r="E173" i="2"/>
  <c r="E35" i="2"/>
  <c r="F176" i="2"/>
  <c r="B2" i="8"/>
  <c r="E57" i="2"/>
  <c r="E27" i="2"/>
  <c r="E175" i="2"/>
  <c r="E126" i="2"/>
  <c r="E95" i="2"/>
  <c r="E30" i="2"/>
  <c r="E84" i="2"/>
  <c r="E130" i="2"/>
  <c r="F66" i="2"/>
  <c r="E191" i="2"/>
  <c r="E2" i="2"/>
  <c r="E7" i="2"/>
  <c r="E148" i="2"/>
  <c r="E186" i="2"/>
  <c r="E22" i="2"/>
  <c r="F120" i="2"/>
  <c r="E13" i="2"/>
  <c r="M2" i="8"/>
  <c r="E15" i="2"/>
  <c r="E26" i="2"/>
  <c r="E81" i="2"/>
  <c r="E192" i="2"/>
  <c r="E14" i="2"/>
  <c r="E55" i="2"/>
  <c r="E20" i="2"/>
  <c r="E69" i="2"/>
  <c r="E149" i="2"/>
  <c r="E196" i="2"/>
  <c r="E174" i="2"/>
  <c r="E153" i="2"/>
  <c r="E128" i="2"/>
  <c r="E122" i="2"/>
  <c r="E17" i="2"/>
  <c r="E167" i="2"/>
  <c r="E185" i="2"/>
  <c r="E151" i="2"/>
  <c r="E80" i="2"/>
  <c r="E198" i="2"/>
  <c r="E127" i="2"/>
  <c r="E203" i="2"/>
  <c r="E193" i="2"/>
  <c r="E85" i="2"/>
  <c r="E199" i="2"/>
  <c r="E18" i="2"/>
  <c r="E147" i="2"/>
  <c r="E136" i="2"/>
  <c r="E86" i="2"/>
  <c r="E171" i="2"/>
  <c r="E67" i="2"/>
  <c r="E177" i="2"/>
  <c r="E144" i="2"/>
  <c r="E131" i="2"/>
  <c r="E54" i="2"/>
  <c r="E114" i="2"/>
  <c r="E91" i="2"/>
  <c r="E68" i="2"/>
  <c r="E209" i="2"/>
  <c r="E66" i="2"/>
  <c r="E3" i="2"/>
  <c r="E19" i="2"/>
  <c r="E94" i="2"/>
  <c r="E116" i="2"/>
  <c r="E176" i="2"/>
  <c r="E5" i="2"/>
  <c r="E201" i="2"/>
  <c r="E117" i="2"/>
  <c r="E169" i="2"/>
  <c r="E71" i="2"/>
  <c r="E21" i="2"/>
  <c r="E25" i="2"/>
  <c r="E124" i="2"/>
  <c r="E202" i="2"/>
  <c r="E170" i="2"/>
  <c r="E24" i="2"/>
  <c r="E16" i="2"/>
  <c r="E12" i="2"/>
  <c r="E28" i="2"/>
  <c r="E197" i="2"/>
  <c r="E194" i="2"/>
  <c r="E6" i="2"/>
  <c r="E135" i="2"/>
  <c r="E10" i="2"/>
  <c r="E172" i="2"/>
  <c r="E9" i="2"/>
  <c r="E205" i="2"/>
  <c r="E8" i="2"/>
  <c r="E88" i="2"/>
  <c r="E118" i="2"/>
  <c r="E206" i="2"/>
  <c r="E32" i="2"/>
  <c r="C4" i="6"/>
  <c r="E125" i="2"/>
  <c r="E129" i="2"/>
  <c r="E29" i="2"/>
  <c r="E187" i="2"/>
  <c r="C8" i="6"/>
  <c r="C9" i="6"/>
  <c r="E74" i="2"/>
  <c r="C6" i="6"/>
  <c r="C5" i="6"/>
  <c r="C7" i="6"/>
  <c r="C2" i="6"/>
  <c r="E53" i="2"/>
  <c r="C3" i="6"/>
  <c r="E200" i="2"/>
  <c r="E190" i="2"/>
  <c r="E120" i="2"/>
  <c r="E56" i="2"/>
  <c r="E150" i="2"/>
  <c r="E11" i="2"/>
  <c r="F11" i="2"/>
  <c r="F53" i="2"/>
  <c r="B3" i="6" s="1"/>
  <c r="F74" i="2"/>
  <c r="F189" i="2"/>
  <c r="F187" i="2"/>
  <c r="E146" i="2"/>
  <c r="E70" i="2"/>
  <c r="E89" i="2"/>
  <c r="E92" i="2"/>
  <c r="E207" i="2"/>
  <c r="E157" i="2"/>
  <c r="E23" i="2"/>
  <c r="E90" i="2"/>
  <c r="E72" i="2"/>
  <c r="E189" i="2"/>
  <c r="E138" i="2"/>
  <c r="E188" i="2"/>
  <c r="E87" i="2"/>
  <c r="E137" i="2"/>
  <c r="F138" i="2"/>
  <c r="E134" i="2"/>
  <c r="E58" i="2"/>
  <c r="E154" i="2"/>
  <c r="F29" i="2"/>
  <c r="E121" i="2"/>
  <c r="E132" i="2"/>
  <c r="E82" i="2"/>
  <c r="E155" i="2"/>
  <c r="E133" i="2"/>
  <c r="E4" i="2"/>
  <c r="E33" i="2"/>
  <c r="E83" i="2"/>
  <c r="E123" i="2"/>
  <c r="E119" i="2"/>
  <c r="E115" i="2"/>
  <c r="F207" i="2"/>
  <c r="F115" i="2"/>
  <c r="F121" i="2"/>
  <c r="F134" i="2"/>
  <c r="F155" i="2"/>
  <c r="B4" i="6" l="1"/>
  <c r="D2" i="8"/>
  <c r="B4" i="8"/>
  <c r="C2" i="8"/>
  <c r="B9" i="6"/>
  <c r="B8" i="6"/>
  <c r="C10" i="6"/>
  <c r="B7" i="6"/>
  <c r="B6" i="6"/>
  <c r="B5" i="6"/>
  <c r="B2" i="6"/>
  <c r="S195" i="2" l="1"/>
  <c r="Q195" i="2"/>
  <c r="Y195" i="2"/>
  <c r="Z195" i="2"/>
  <c r="L195" i="2"/>
  <c r="X195" i="2"/>
  <c r="R195" i="2"/>
  <c r="K195" i="2"/>
  <c r="U195" i="2"/>
  <c r="N195" i="2"/>
  <c r="T195" i="2"/>
  <c r="W195" i="2"/>
  <c r="M195" i="2"/>
  <c r="V195" i="2"/>
  <c r="I195" i="2"/>
  <c r="J195" i="2"/>
  <c r="H195" i="2"/>
  <c r="X178" i="2"/>
  <c r="Y178" i="2"/>
  <c r="R178" i="2"/>
  <c r="Z178" i="2"/>
  <c r="M178" i="2"/>
  <c r="T178" i="2"/>
  <c r="V178" i="2"/>
  <c r="K178" i="2"/>
  <c r="L178" i="2"/>
  <c r="N178" i="2"/>
  <c r="J178" i="2"/>
  <c r="U178" i="2"/>
  <c r="W178" i="2"/>
  <c r="H178" i="2"/>
  <c r="S178" i="2"/>
  <c r="Q178" i="2"/>
  <c r="I178" i="2"/>
  <c r="K165" i="2"/>
  <c r="T165" i="2"/>
  <c r="Z165" i="2"/>
  <c r="J165" i="2"/>
  <c r="H165" i="2"/>
  <c r="I165" i="2"/>
  <c r="S165" i="2"/>
  <c r="L165" i="2"/>
  <c r="Q165" i="2"/>
  <c r="R165" i="2"/>
  <c r="U165" i="2"/>
  <c r="N165" i="2"/>
  <c r="Y165" i="2"/>
  <c r="W165" i="2"/>
  <c r="X165" i="2"/>
  <c r="M165" i="2"/>
  <c r="V165" i="2"/>
  <c r="W177" i="2"/>
  <c r="N177" i="2"/>
  <c r="V177" i="2"/>
  <c r="M177" i="2"/>
  <c r="U177" i="2"/>
  <c r="L177" i="2"/>
  <c r="T177" i="2"/>
  <c r="K177" i="2"/>
  <c r="S177" i="2"/>
  <c r="J177" i="2"/>
  <c r="Z177" i="2"/>
  <c r="R177" i="2"/>
  <c r="I177" i="2"/>
  <c r="Y177" i="2"/>
  <c r="Q177" i="2"/>
  <c r="H177" i="2"/>
  <c r="X177" i="2"/>
  <c r="Q149" i="2"/>
  <c r="J149" i="2"/>
  <c r="N149" i="2"/>
  <c r="Y149" i="2"/>
  <c r="I149" i="2"/>
  <c r="S149" i="2"/>
  <c r="M149" i="2"/>
  <c r="X149" i="2"/>
  <c r="R149" i="2"/>
  <c r="V149" i="2"/>
  <c r="U149" i="2"/>
  <c r="L149" i="2"/>
  <c r="Z149" i="2"/>
  <c r="K149" i="2"/>
  <c r="W149" i="2"/>
  <c r="T149" i="2"/>
  <c r="H149" i="2"/>
  <c r="L191" i="2"/>
  <c r="N191" i="2"/>
  <c r="U191" i="2"/>
  <c r="W191" i="2"/>
  <c r="J191" i="2"/>
  <c r="K191" i="2"/>
  <c r="T191" i="2"/>
  <c r="M191" i="2"/>
  <c r="H191" i="2"/>
  <c r="S191" i="2"/>
  <c r="V191" i="2"/>
  <c r="Q191" i="2"/>
  <c r="I191" i="2"/>
  <c r="Y191" i="2"/>
  <c r="R191" i="2"/>
  <c r="X191" i="2"/>
  <c r="Z191" i="2"/>
  <c r="J33" i="2"/>
  <c r="W33" i="2"/>
  <c r="Z33" i="2"/>
  <c r="N33" i="2"/>
  <c r="R33" i="2"/>
  <c r="V33" i="2"/>
  <c r="I33" i="2"/>
  <c r="M33" i="2"/>
  <c r="Y33" i="2"/>
  <c r="U33" i="2"/>
  <c r="Q33" i="2"/>
  <c r="L33" i="2"/>
  <c r="K33" i="2"/>
  <c r="H33" i="2"/>
  <c r="T33" i="2"/>
  <c r="S33" i="2"/>
  <c r="X33" i="2"/>
  <c r="U186" i="2"/>
  <c r="L186" i="2"/>
  <c r="T186" i="2"/>
  <c r="K186" i="2"/>
  <c r="S186" i="2"/>
  <c r="J186" i="2"/>
  <c r="Z186" i="2"/>
  <c r="R186" i="2"/>
  <c r="I186" i="2"/>
  <c r="Y186" i="2"/>
  <c r="Q186" i="2"/>
  <c r="H186" i="2"/>
  <c r="X186" i="2"/>
  <c r="W186" i="2"/>
  <c r="N186" i="2"/>
  <c r="V186" i="2"/>
  <c r="M186" i="2"/>
  <c r="S153" i="2"/>
  <c r="U153" i="2"/>
  <c r="W153" i="2"/>
  <c r="Y153" i="2"/>
  <c r="K153" i="2"/>
  <c r="J153" i="2"/>
  <c r="T153" i="2"/>
  <c r="M153" i="2"/>
  <c r="V153" i="2"/>
  <c r="I153" i="2"/>
  <c r="R153" i="2"/>
  <c r="X153" i="2"/>
  <c r="H153" i="2"/>
  <c r="Z153" i="2"/>
  <c r="L153" i="2"/>
  <c r="N153" i="2"/>
  <c r="Q153" i="2"/>
  <c r="H196" i="2"/>
  <c r="R196" i="2"/>
  <c r="J196" i="2"/>
  <c r="Q196" i="2"/>
  <c r="Z196" i="2"/>
  <c r="S196" i="2"/>
  <c r="Y196" i="2"/>
  <c r="U196" i="2"/>
  <c r="M196" i="2"/>
  <c r="V196" i="2"/>
  <c r="X196" i="2"/>
  <c r="L196" i="2"/>
  <c r="K196" i="2"/>
  <c r="N196" i="2"/>
  <c r="T196" i="2"/>
  <c r="W196" i="2"/>
  <c r="I196" i="2"/>
  <c r="V171" i="2"/>
  <c r="I171" i="2"/>
  <c r="X171" i="2"/>
  <c r="R171" i="2"/>
  <c r="S171" i="2"/>
  <c r="Z171" i="2"/>
  <c r="L171" i="2"/>
  <c r="N171" i="2"/>
  <c r="H171" i="2"/>
  <c r="U171" i="2"/>
  <c r="W171" i="2"/>
  <c r="Q171" i="2"/>
  <c r="J171" i="2"/>
  <c r="Y171" i="2"/>
  <c r="K171" i="2"/>
  <c r="T171" i="2"/>
  <c r="M171" i="2"/>
  <c r="Z187" i="2"/>
  <c r="N187" i="2"/>
  <c r="Y187" i="2"/>
  <c r="I187" i="2"/>
  <c r="K187" i="2"/>
  <c r="W187" i="2"/>
  <c r="R187" i="2"/>
  <c r="T187" i="2"/>
  <c r="M187" i="2"/>
  <c r="X187" i="2"/>
  <c r="V187" i="2"/>
  <c r="L187" i="2"/>
  <c r="J187" i="2"/>
  <c r="U187" i="2"/>
  <c r="S187" i="2"/>
  <c r="H187" i="2"/>
  <c r="Q187" i="2"/>
  <c r="Y217" i="2"/>
  <c r="Q217" i="2"/>
  <c r="H217" i="2"/>
  <c r="X217" i="2"/>
  <c r="W217" i="2"/>
  <c r="N217" i="2"/>
  <c r="V217" i="2"/>
  <c r="M217" i="2"/>
  <c r="U217" i="2"/>
  <c r="L217" i="2"/>
  <c r="T217" i="2"/>
  <c r="K217" i="2"/>
  <c r="S217" i="2"/>
  <c r="J217" i="2"/>
  <c r="Z217" i="2"/>
  <c r="R217" i="2"/>
  <c r="I217" i="2"/>
  <c r="S205" i="2"/>
  <c r="J205" i="2"/>
  <c r="Z205" i="2"/>
  <c r="R205" i="2"/>
  <c r="I205" i="2"/>
  <c r="Y205" i="2"/>
  <c r="Q205" i="2"/>
  <c r="H205" i="2"/>
  <c r="X205" i="2"/>
  <c r="W205" i="2"/>
  <c r="N205" i="2"/>
  <c r="V205" i="2"/>
  <c r="M205" i="2"/>
  <c r="U205" i="2"/>
  <c r="L205" i="2"/>
  <c r="T205" i="2"/>
  <c r="K205" i="2"/>
  <c r="V174" i="2"/>
  <c r="M174" i="2"/>
  <c r="U174" i="2"/>
  <c r="L174" i="2"/>
  <c r="T174" i="2"/>
  <c r="K174" i="2"/>
  <c r="S174" i="2"/>
  <c r="J174" i="2"/>
  <c r="Z174" i="2"/>
  <c r="R174" i="2"/>
  <c r="I174" i="2"/>
  <c r="Y174" i="2"/>
  <c r="Q174" i="2"/>
  <c r="H174" i="2"/>
  <c r="X174" i="2"/>
  <c r="W174" i="2"/>
  <c r="N174" i="2"/>
  <c r="W188" i="2"/>
  <c r="Y188" i="2"/>
  <c r="L188" i="2"/>
  <c r="J188" i="2"/>
  <c r="U188" i="2"/>
  <c r="M188" i="2"/>
  <c r="X188" i="2"/>
  <c r="S188" i="2"/>
  <c r="K188" i="2"/>
  <c r="I188" i="2"/>
  <c r="T188" i="2"/>
  <c r="R188" i="2"/>
  <c r="H188" i="2"/>
  <c r="Z188" i="2"/>
  <c r="V188" i="2"/>
  <c r="N188" i="2"/>
  <c r="Q188" i="2"/>
  <c r="M175" i="2"/>
  <c r="V175" i="2"/>
  <c r="X175" i="2"/>
  <c r="I175" i="2"/>
  <c r="R175" i="2"/>
  <c r="K175" i="2"/>
  <c r="Z175" i="2"/>
  <c r="T175" i="2"/>
  <c r="N175" i="2"/>
  <c r="H175" i="2"/>
  <c r="L175" i="2"/>
  <c r="W175" i="2"/>
  <c r="Q175" i="2"/>
  <c r="J175" i="2"/>
  <c r="U175" i="2"/>
  <c r="Y175" i="2"/>
  <c r="S175" i="2"/>
  <c r="S176" i="2"/>
  <c r="L176" i="2"/>
  <c r="N176" i="2"/>
  <c r="U176" i="2"/>
  <c r="W176" i="2"/>
  <c r="I176" i="2"/>
  <c r="K176" i="2"/>
  <c r="R176" i="2"/>
  <c r="T176" i="2"/>
  <c r="Z176" i="2"/>
  <c r="Y176" i="2"/>
  <c r="M176" i="2"/>
  <c r="X176" i="2"/>
  <c r="V176" i="2"/>
  <c r="H176" i="2"/>
  <c r="J176" i="2"/>
  <c r="Q176" i="2"/>
  <c r="N201" i="2"/>
  <c r="T201" i="2"/>
  <c r="W201" i="2"/>
  <c r="I201" i="2"/>
  <c r="J201" i="2"/>
  <c r="H201" i="2"/>
  <c r="R201" i="2"/>
  <c r="S201" i="2"/>
  <c r="Q201" i="2"/>
  <c r="Z201" i="2"/>
  <c r="M201" i="2"/>
  <c r="Y201" i="2"/>
  <c r="L201" i="2"/>
  <c r="U201" i="2"/>
  <c r="V201" i="2"/>
  <c r="X201" i="2"/>
  <c r="K201" i="2"/>
  <c r="W207" i="2"/>
  <c r="M207" i="2"/>
  <c r="X207" i="2"/>
  <c r="V207" i="2"/>
  <c r="I207" i="2"/>
  <c r="K207" i="2"/>
  <c r="U207" i="2"/>
  <c r="H207" i="2"/>
  <c r="R207" i="2"/>
  <c r="T207" i="2"/>
  <c r="Q207" i="2"/>
  <c r="Z207" i="2"/>
  <c r="Y207" i="2"/>
  <c r="J207" i="2"/>
  <c r="S207" i="2"/>
  <c r="L207" i="2"/>
  <c r="N207" i="2"/>
  <c r="R152" i="2"/>
  <c r="Z152" i="2"/>
  <c r="L152" i="2"/>
  <c r="U152" i="2"/>
  <c r="N152" i="2"/>
  <c r="Y152" i="2"/>
  <c r="W152" i="2"/>
  <c r="H152" i="2"/>
  <c r="J152" i="2"/>
  <c r="Q152" i="2"/>
  <c r="S152" i="2"/>
  <c r="K152" i="2"/>
  <c r="V152" i="2"/>
  <c r="T152" i="2"/>
  <c r="X152" i="2"/>
  <c r="I152" i="2"/>
  <c r="M152" i="2"/>
  <c r="N162" i="2"/>
  <c r="Y162" i="2"/>
  <c r="I162" i="2"/>
  <c r="K162" i="2"/>
  <c r="T162" i="2"/>
  <c r="W162" i="2"/>
  <c r="R162" i="2"/>
  <c r="X162" i="2"/>
  <c r="Z162" i="2"/>
  <c r="M162" i="2"/>
  <c r="V162" i="2"/>
  <c r="L162" i="2"/>
  <c r="H162" i="2"/>
  <c r="J162" i="2"/>
  <c r="U162" i="2"/>
  <c r="Q162" i="2"/>
  <c r="S162" i="2"/>
  <c r="X206" i="2"/>
  <c r="W206" i="2"/>
  <c r="N206" i="2"/>
  <c r="V206" i="2"/>
  <c r="M206" i="2"/>
  <c r="U206" i="2"/>
  <c r="L206" i="2"/>
  <c r="T206" i="2"/>
  <c r="K206" i="2"/>
  <c r="S206" i="2"/>
  <c r="J206" i="2"/>
  <c r="Z206" i="2"/>
  <c r="R206" i="2"/>
  <c r="I206" i="2"/>
  <c r="Y206" i="2"/>
  <c r="Q206" i="2"/>
  <c r="H206" i="2"/>
  <c r="X215" i="2"/>
  <c r="W215" i="2"/>
  <c r="N215" i="2"/>
  <c r="V215" i="2"/>
  <c r="M215" i="2"/>
  <c r="U215" i="2"/>
  <c r="L215" i="2"/>
  <c r="T215" i="2"/>
  <c r="K215" i="2"/>
  <c r="S215" i="2"/>
  <c r="J215" i="2"/>
  <c r="Z215" i="2"/>
  <c r="R215" i="2"/>
  <c r="I215" i="2"/>
  <c r="Y215" i="2"/>
  <c r="Q215" i="2"/>
  <c r="H215" i="2"/>
  <c r="V158" i="2"/>
  <c r="Y158" i="2"/>
  <c r="J158" i="2"/>
  <c r="L158" i="2"/>
  <c r="N158" i="2"/>
  <c r="S158" i="2"/>
  <c r="U158" i="2"/>
  <c r="W158" i="2"/>
  <c r="H158" i="2"/>
  <c r="I158" i="2"/>
  <c r="Q158" i="2"/>
  <c r="R158" i="2"/>
  <c r="Z158" i="2"/>
  <c r="K158" i="2"/>
  <c r="T158" i="2"/>
  <c r="M158" i="2"/>
  <c r="X158" i="2"/>
  <c r="T184" i="2"/>
  <c r="V184" i="2"/>
  <c r="R184" i="2"/>
  <c r="N184" i="2"/>
  <c r="X184" i="2"/>
  <c r="Z184" i="2"/>
  <c r="W184" i="2"/>
  <c r="H184" i="2"/>
  <c r="Q184" i="2"/>
  <c r="Y184" i="2"/>
  <c r="S184" i="2"/>
  <c r="L184" i="2"/>
  <c r="J184" i="2"/>
  <c r="U184" i="2"/>
  <c r="K184" i="2"/>
  <c r="M184" i="2"/>
  <c r="I184" i="2"/>
  <c r="T150" i="2"/>
  <c r="V150" i="2"/>
  <c r="S150" i="2"/>
  <c r="L150" i="2"/>
  <c r="H150" i="2"/>
  <c r="U150" i="2"/>
  <c r="N150" i="2"/>
  <c r="Q150" i="2"/>
  <c r="I150" i="2"/>
  <c r="W150" i="2"/>
  <c r="Y150" i="2"/>
  <c r="R150" i="2"/>
  <c r="Z150" i="2"/>
  <c r="X150" i="2"/>
  <c r="K150" i="2"/>
  <c r="M150" i="2"/>
  <c r="J150" i="2"/>
  <c r="J161" i="2"/>
  <c r="L161" i="2"/>
  <c r="N161" i="2"/>
  <c r="S161" i="2"/>
  <c r="U161" i="2"/>
  <c r="W161" i="2"/>
  <c r="I161" i="2"/>
  <c r="H161" i="2"/>
  <c r="R161" i="2"/>
  <c r="Z161" i="2"/>
  <c r="M161" i="2"/>
  <c r="Q161" i="2"/>
  <c r="V161" i="2"/>
  <c r="Y161" i="2"/>
  <c r="K161" i="2"/>
  <c r="T161" i="2"/>
  <c r="X161" i="2"/>
  <c r="M164" i="2"/>
  <c r="K164" i="2"/>
  <c r="V164" i="2"/>
  <c r="I164" i="2"/>
  <c r="T164" i="2"/>
  <c r="L164" i="2"/>
  <c r="X164" i="2"/>
  <c r="R164" i="2"/>
  <c r="H164" i="2"/>
  <c r="Z164" i="2"/>
  <c r="J164" i="2"/>
  <c r="Q164" i="2"/>
  <c r="S164" i="2"/>
  <c r="Y164" i="2"/>
  <c r="U164" i="2"/>
  <c r="N164" i="2"/>
  <c r="W164" i="2"/>
  <c r="U159" i="2"/>
  <c r="Q159" i="2"/>
  <c r="Y159" i="2"/>
  <c r="N159" i="2"/>
  <c r="W159" i="2"/>
  <c r="I159" i="2"/>
  <c r="M159" i="2"/>
  <c r="R159" i="2"/>
  <c r="K159" i="2"/>
  <c r="V159" i="2"/>
  <c r="Z159" i="2"/>
  <c r="T159" i="2"/>
  <c r="J159" i="2"/>
  <c r="X159" i="2"/>
  <c r="H159" i="2"/>
  <c r="S159" i="2"/>
  <c r="L159" i="2"/>
  <c r="S148" i="2"/>
  <c r="V148" i="2"/>
  <c r="R148" i="2"/>
  <c r="H148" i="2"/>
  <c r="Z148" i="2"/>
  <c r="Q148" i="2"/>
  <c r="N148" i="2"/>
  <c r="U148" i="2"/>
  <c r="Y148" i="2"/>
  <c r="T148" i="2"/>
  <c r="M148" i="2"/>
  <c r="I148" i="2"/>
  <c r="L148" i="2"/>
  <c r="W148" i="2"/>
  <c r="X148" i="2"/>
  <c r="J148" i="2"/>
  <c r="K148" i="2"/>
  <c r="Z144" i="2"/>
  <c r="R144" i="2"/>
  <c r="I144" i="2"/>
  <c r="Y144" i="2"/>
  <c r="Q144" i="2"/>
  <c r="H144" i="2"/>
  <c r="X144" i="2"/>
  <c r="W144" i="2"/>
  <c r="N144" i="2"/>
  <c r="V144" i="2"/>
  <c r="M144" i="2"/>
  <c r="U144" i="2"/>
  <c r="L144" i="2"/>
  <c r="T144" i="2"/>
  <c r="K144" i="2"/>
  <c r="S144" i="2"/>
  <c r="J144" i="2"/>
  <c r="S142" i="2"/>
  <c r="J142" i="2"/>
  <c r="Z142" i="2"/>
  <c r="R142" i="2"/>
  <c r="I142" i="2"/>
  <c r="Y142" i="2"/>
  <c r="Q142" i="2"/>
  <c r="H142" i="2"/>
  <c r="X142" i="2"/>
  <c r="W142" i="2"/>
  <c r="N142" i="2"/>
  <c r="V142" i="2"/>
  <c r="M142" i="2"/>
  <c r="U142" i="2"/>
  <c r="L142" i="2"/>
  <c r="T142" i="2"/>
  <c r="K142" i="2"/>
  <c r="W107" i="2"/>
  <c r="N107" i="2"/>
  <c r="V107" i="2"/>
  <c r="M107" i="2"/>
  <c r="U107" i="2"/>
  <c r="L107" i="2"/>
  <c r="T107" i="2"/>
  <c r="K107" i="2"/>
  <c r="S107" i="2"/>
  <c r="J107" i="2"/>
  <c r="Z107" i="2"/>
  <c r="R107" i="2"/>
  <c r="I107" i="2"/>
  <c r="Y107" i="2"/>
  <c r="Q107" i="2"/>
  <c r="H107" i="2"/>
  <c r="X107" i="2"/>
  <c r="Z108" i="2"/>
  <c r="R108" i="2"/>
  <c r="I108" i="2"/>
  <c r="Y108" i="2"/>
  <c r="Q108" i="2"/>
  <c r="H108" i="2"/>
  <c r="X108" i="2"/>
  <c r="W108" i="2"/>
  <c r="N108" i="2"/>
  <c r="V108" i="2"/>
  <c r="M108" i="2"/>
  <c r="U108" i="2"/>
  <c r="L108" i="2"/>
  <c r="T108" i="2"/>
  <c r="K108" i="2"/>
  <c r="S108" i="2"/>
  <c r="J108" i="2"/>
  <c r="V143" i="2"/>
  <c r="M143" i="2"/>
  <c r="U143" i="2"/>
  <c r="L143" i="2"/>
  <c r="T143" i="2"/>
  <c r="K143" i="2"/>
  <c r="S143" i="2"/>
  <c r="J143" i="2"/>
  <c r="Z143" i="2"/>
  <c r="R143" i="2"/>
  <c r="I143" i="2"/>
  <c r="Y143" i="2"/>
  <c r="Q143" i="2"/>
  <c r="H143" i="2"/>
  <c r="X143" i="2"/>
  <c r="W143" i="2"/>
  <c r="N143" i="2"/>
  <c r="B10" i="6"/>
  <c r="K138" i="2"/>
  <c r="U141" i="2" l="1"/>
  <c r="Z140" i="2"/>
  <c r="J106" i="2"/>
  <c r="M120" i="2"/>
  <c r="H119" i="2"/>
  <c r="Q135" i="2"/>
  <c r="L119" i="2"/>
  <c r="Q119" i="2"/>
  <c r="N120" i="2"/>
  <c r="Z120" i="2"/>
  <c r="V120" i="2"/>
  <c r="X106" i="2"/>
  <c r="S106" i="2"/>
  <c r="R141" i="2"/>
  <c r="M141" i="2"/>
  <c r="W140" i="2"/>
  <c r="J140" i="2"/>
  <c r="Q139" i="2"/>
  <c r="T139" i="2"/>
  <c r="Q129" i="2"/>
  <c r="U119" i="2"/>
  <c r="Y119" i="2"/>
  <c r="W120" i="2"/>
  <c r="J120" i="2"/>
  <c r="H106" i="2"/>
  <c r="K106" i="2"/>
  <c r="Z141" i="2"/>
  <c r="V141" i="2"/>
  <c r="X140" i="2"/>
  <c r="S140" i="2"/>
  <c r="Y139" i="2"/>
  <c r="L139" i="2"/>
  <c r="M119" i="2"/>
  <c r="I119" i="2"/>
  <c r="X120" i="2"/>
  <c r="S120" i="2"/>
  <c r="L106" i="2"/>
  <c r="Q106" i="2"/>
  <c r="T106" i="2"/>
  <c r="J141" i="2"/>
  <c r="N141" i="2"/>
  <c r="H140" i="2"/>
  <c r="K140" i="2"/>
  <c r="I139" i="2"/>
  <c r="U139" i="2"/>
  <c r="V119" i="2"/>
  <c r="R119" i="2"/>
  <c r="H120" i="2"/>
  <c r="K120" i="2"/>
  <c r="U106" i="2"/>
  <c r="Y106" i="2"/>
  <c r="S141" i="2"/>
  <c r="W141" i="2"/>
  <c r="Q140" i="2"/>
  <c r="T140" i="2"/>
  <c r="R139" i="2"/>
  <c r="M139" i="2"/>
  <c r="N119" i="2"/>
  <c r="Z119" i="2"/>
  <c r="Q120" i="2"/>
  <c r="T120" i="2"/>
  <c r="M106" i="2"/>
  <c r="I106" i="2"/>
  <c r="H141" i="2"/>
  <c r="K141" i="2"/>
  <c r="X141" i="2"/>
  <c r="Y140" i="2"/>
  <c r="L140" i="2"/>
  <c r="Z139" i="2"/>
  <c r="V139" i="2"/>
  <c r="W119" i="2"/>
  <c r="J119" i="2"/>
  <c r="Y120" i="2"/>
  <c r="L120" i="2"/>
  <c r="V106" i="2"/>
  <c r="R106" i="2"/>
  <c r="Q141" i="2"/>
  <c r="T141" i="2"/>
  <c r="M140" i="2"/>
  <c r="I140" i="2"/>
  <c r="U140" i="2"/>
  <c r="J139" i="2"/>
  <c r="N139" i="2"/>
  <c r="K119" i="2"/>
  <c r="X119" i="2"/>
  <c r="S119" i="2"/>
  <c r="I120" i="2"/>
  <c r="U120" i="2"/>
  <c r="N106" i="2"/>
  <c r="Z106" i="2"/>
  <c r="Y141" i="2"/>
  <c r="L141" i="2"/>
  <c r="V140" i="2"/>
  <c r="R140" i="2"/>
  <c r="X139" i="2"/>
  <c r="S139" i="2"/>
  <c r="W139" i="2"/>
  <c r="T119" i="2"/>
  <c r="R120" i="2"/>
  <c r="W106" i="2"/>
  <c r="I141" i="2"/>
  <c r="N140" i="2"/>
  <c r="H139" i="2"/>
  <c r="K139" i="2"/>
  <c r="X132" i="2"/>
  <c r="X138" i="2"/>
  <c r="X135" i="2"/>
  <c r="J132" i="2"/>
  <c r="W132" i="2"/>
  <c r="R129" i="2"/>
  <c r="V129" i="2"/>
  <c r="N113" i="2"/>
  <c r="U113" i="2"/>
  <c r="T113" i="2"/>
  <c r="S113" i="2"/>
  <c r="K113" i="2"/>
  <c r="Q113" i="2"/>
  <c r="Z113" i="2"/>
  <c r="M113" i="2"/>
  <c r="R113" i="2"/>
  <c r="Y113" i="2"/>
  <c r="I113" i="2"/>
  <c r="L113" i="2"/>
  <c r="V113" i="2"/>
  <c r="X113" i="2"/>
  <c r="W113" i="2"/>
  <c r="H113" i="2"/>
  <c r="J113" i="2"/>
  <c r="Z124" i="2"/>
  <c r="N124" i="2"/>
  <c r="J124" i="2"/>
  <c r="R124" i="2"/>
  <c r="V124" i="2"/>
  <c r="I124" i="2"/>
  <c r="M124" i="2"/>
  <c r="Y124" i="2"/>
  <c r="U124" i="2"/>
  <c r="Q124" i="2"/>
  <c r="L124" i="2"/>
  <c r="H124" i="2"/>
  <c r="T124" i="2"/>
  <c r="X124" i="2"/>
  <c r="K124" i="2"/>
  <c r="W124" i="2"/>
  <c r="S124" i="2"/>
  <c r="N114" i="2"/>
  <c r="V114" i="2"/>
  <c r="U114" i="2"/>
  <c r="H114" i="2"/>
  <c r="L114" i="2"/>
  <c r="T114" i="2"/>
  <c r="M114" i="2"/>
  <c r="S114" i="2"/>
  <c r="Z114" i="2"/>
  <c r="Y114" i="2"/>
  <c r="Q114" i="2"/>
  <c r="R114" i="2"/>
  <c r="K114" i="2"/>
  <c r="I114" i="2"/>
  <c r="X114" i="2"/>
  <c r="W114" i="2"/>
  <c r="J114" i="2"/>
  <c r="J133" i="2"/>
  <c r="W133" i="2"/>
  <c r="Z133" i="2"/>
  <c r="N133" i="2"/>
  <c r="R133" i="2"/>
  <c r="V133" i="2"/>
  <c r="U133" i="2"/>
  <c r="I133" i="2"/>
  <c r="M133" i="2"/>
  <c r="L133" i="2"/>
  <c r="Y133" i="2"/>
  <c r="T133" i="2"/>
  <c r="Q133" i="2"/>
  <c r="K133" i="2"/>
  <c r="H133" i="2"/>
  <c r="S133" i="2"/>
  <c r="X133" i="2"/>
  <c r="T134" i="2"/>
  <c r="Q134" i="2"/>
  <c r="X134" i="2"/>
  <c r="K134" i="2"/>
  <c r="H134" i="2"/>
  <c r="W134" i="2"/>
  <c r="S134" i="2"/>
  <c r="N134" i="2"/>
  <c r="J134" i="2"/>
  <c r="V134" i="2"/>
  <c r="Z134" i="2"/>
  <c r="M134" i="2"/>
  <c r="R134" i="2"/>
  <c r="U134" i="2"/>
  <c r="I134" i="2"/>
  <c r="L134" i="2"/>
  <c r="Y134" i="2"/>
  <c r="M99" i="2"/>
  <c r="R99" i="2"/>
  <c r="U99" i="2"/>
  <c r="I99" i="2"/>
  <c r="L99" i="2"/>
  <c r="Y99" i="2"/>
  <c r="T99" i="2"/>
  <c r="Q99" i="2"/>
  <c r="K99" i="2"/>
  <c r="H99" i="2"/>
  <c r="S99" i="2"/>
  <c r="X99" i="2"/>
  <c r="J99" i="2"/>
  <c r="W99" i="2"/>
  <c r="V99" i="2"/>
  <c r="Z99" i="2"/>
  <c r="N99" i="2"/>
  <c r="V102" i="2"/>
  <c r="Z102" i="2"/>
  <c r="M102" i="2"/>
  <c r="R102" i="2"/>
  <c r="U102" i="2"/>
  <c r="I102" i="2"/>
  <c r="L102" i="2"/>
  <c r="Y102" i="2"/>
  <c r="T102" i="2"/>
  <c r="Q102" i="2"/>
  <c r="K102" i="2"/>
  <c r="H102" i="2"/>
  <c r="W102" i="2"/>
  <c r="S102" i="2"/>
  <c r="X102" i="2"/>
  <c r="N102" i="2"/>
  <c r="J102" i="2"/>
  <c r="X137" i="2"/>
  <c r="K137" i="2"/>
  <c r="W137" i="2"/>
  <c r="S137" i="2"/>
  <c r="N137" i="2"/>
  <c r="J137" i="2"/>
  <c r="V137" i="2"/>
  <c r="Z137" i="2"/>
  <c r="M137" i="2"/>
  <c r="R137" i="2"/>
  <c r="Y137" i="2"/>
  <c r="U137" i="2"/>
  <c r="I137" i="2"/>
  <c r="Q137" i="2"/>
  <c r="L137" i="2"/>
  <c r="H137" i="2"/>
  <c r="T137" i="2"/>
  <c r="T138" i="2"/>
  <c r="Q138" i="2"/>
  <c r="L138" i="2"/>
  <c r="V118" i="2"/>
  <c r="Z118" i="2"/>
  <c r="M118" i="2"/>
  <c r="R118" i="2"/>
  <c r="U118" i="2"/>
  <c r="I118" i="2"/>
  <c r="L118" i="2"/>
  <c r="Y118" i="2"/>
  <c r="T118" i="2"/>
  <c r="Q118" i="2"/>
  <c r="X118" i="2"/>
  <c r="K118" i="2"/>
  <c r="H118" i="2"/>
  <c r="W118" i="2"/>
  <c r="S118" i="2"/>
  <c r="N118" i="2"/>
  <c r="J118" i="2"/>
  <c r="U105" i="2"/>
  <c r="I105" i="2"/>
  <c r="L105" i="2"/>
  <c r="Y105" i="2"/>
  <c r="T105" i="2"/>
  <c r="Q105" i="2"/>
  <c r="X105" i="2"/>
  <c r="K105" i="2"/>
  <c r="H105" i="2"/>
  <c r="W105" i="2"/>
  <c r="S105" i="2"/>
  <c r="N105" i="2"/>
  <c r="J105" i="2"/>
  <c r="V105" i="2"/>
  <c r="Z105" i="2"/>
  <c r="M105" i="2"/>
  <c r="R105" i="2"/>
  <c r="H138" i="2"/>
  <c r="K135" i="2"/>
  <c r="H135" i="2"/>
  <c r="S132" i="2"/>
  <c r="Z129" i="2"/>
  <c r="N129" i="2"/>
  <c r="I132" i="2"/>
  <c r="M132" i="2"/>
  <c r="N110" i="2"/>
  <c r="J110" i="2"/>
  <c r="V110" i="2"/>
  <c r="Z110" i="2"/>
  <c r="M110" i="2"/>
  <c r="R110" i="2"/>
  <c r="U110" i="2"/>
  <c r="I110" i="2"/>
  <c r="L110" i="2"/>
  <c r="Y110" i="2"/>
  <c r="T110" i="2"/>
  <c r="Q110" i="2"/>
  <c r="X110" i="2"/>
  <c r="K110" i="2"/>
  <c r="H110" i="2"/>
  <c r="W110" i="2"/>
  <c r="S110" i="2"/>
  <c r="I111" i="2"/>
  <c r="M111" i="2"/>
  <c r="Y111" i="2"/>
  <c r="U111" i="2"/>
  <c r="Q111" i="2"/>
  <c r="L111" i="2"/>
  <c r="H111" i="2"/>
  <c r="T111" i="2"/>
  <c r="S111" i="2"/>
  <c r="X111" i="2"/>
  <c r="K111" i="2"/>
  <c r="J111" i="2"/>
  <c r="W111" i="2"/>
  <c r="Z111" i="2"/>
  <c r="N111" i="2"/>
  <c r="R111" i="2"/>
  <c r="V111" i="2"/>
  <c r="X121" i="2"/>
  <c r="K121" i="2"/>
  <c r="W121" i="2"/>
  <c r="S121" i="2"/>
  <c r="N121" i="2"/>
  <c r="J121" i="2"/>
  <c r="V121" i="2"/>
  <c r="Z121" i="2"/>
  <c r="M121" i="2"/>
  <c r="R121" i="2"/>
  <c r="Y121" i="2"/>
  <c r="U121" i="2"/>
  <c r="I121" i="2"/>
  <c r="Q121" i="2"/>
  <c r="L121" i="2"/>
  <c r="H121" i="2"/>
  <c r="T121" i="2"/>
  <c r="X126" i="2"/>
  <c r="K126" i="2"/>
  <c r="H126" i="2"/>
  <c r="W126" i="2"/>
  <c r="S126" i="2"/>
  <c r="N126" i="2"/>
  <c r="J126" i="2"/>
  <c r="V126" i="2"/>
  <c r="Z126" i="2"/>
  <c r="M126" i="2"/>
  <c r="R126" i="2"/>
  <c r="U126" i="2"/>
  <c r="I126" i="2"/>
  <c r="L126" i="2"/>
  <c r="Y126" i="2"/>
  <c r="T126" i="2"/>
  <c r="Q126" i="2"/>
  <c r="Z104" i="2"/>
  <c r="N104" i="2"/>
  <c r="R104" i="2"/>
  <c r="V104" i="2"/>
  <c r="U104" i="2"/>
  <c r="I104" i="2"/>
  <c r="M104" i="2"/>
  <c r="L104" i="2"/>
  <c r="Y104" i="2"/>
  <c r="T104" i="2"/>
  <c r="Q104" i="2"/>
  <c r="K104" i="2"/>
  <c r="H104" i="2"/>
  <c r="S104" i="2"/>
  <c r="X104" i="2"/>
  <c r="J104" i="2"/>
  <c r="W104" i="2"/>
  <c r="Y138" i="2"/>
  <c r="T135" i="2"/>
  <c r="K132" i="2"/>
  <c r="H132" i="2"/>
  <c r="J129" i="2"/>
  <c r="W129" i="2"/>
  <c r="Y101" i="2"/>
  <c r="U101" i="2"/>
  <c r="T101" i="2"/>
  <c r="Q101" i="2"/>
  <c r="L101" i="2"/>
  <c r="K101" i="2"/>
  <c r="H101" i="2"/>
  <c r="S101" i="2"/>
  <c r="X101" i="2"/>
  <c r="J101" i="2"/>
  <c r="W101" i="2"/>
  <c r="Z101" i="2"/>
  <c r="N101" i="2"/>
  <c r="R101" i="2"/>
  <c r="V101" i="2"/>
  <c r="I101" i="2"/>
  <c r="M101" i="2"/>
  <c r="Q115" i="2"/>
  <c r="T115" i="2"/>
  <c r="N115" i="2"/>
  <c r="H115" i="2"/>
  <c r="U115" i="2"/>
  <c r="Y115" i="2"/>
  <c r="S115" i="2"/>
  <c r="L115" i="2"/>
  <c r="M115" i="2"/>
  <c r="Z115" i="2"/>
  <c r="W115" i="2"/>
  <c r="R115" i="2"/>
  <c r="K115" i="2"/>
  <c r="I115" i="2"/>
  <c r="V115" i="2"/>
  <c r="X115" i="2"/>
  <c r="J115" i="2"/>
  <c r="T112" i="2"/>
  <c r="Q112" i="2"/>
  <c r="K112" i="2"/>
  <c r="H112" i="2"/>
  <c r="S112" i="2"/>
  <c r="X112" i="2"/>
  <c r="J112" i="2"/>
  <c r="W112" i="2"/>
  <c r="V112" i="2"/>
  <c r="Z112" i="2"/>
  <c r="N112" i="2"/>
  <c r="M112" i="2"/>
  <c r="R112" i="2"/>
  <c r="U112" i="2"/>
  <c r="I112" i="2"/>
  <c r="L112" i="2"/>
  <c r="Y112" i="2"/>
  <c r="J135" i="2"/>
  <c r="W135" i="2"/>
  <c r="U138" i="2"/>
  <c r="I138" i="2"/>
  <c r="L135" i="2"/>
  <c r="Y135" i="2"/>
  <c r="T132" i="2"/>
  <c r="Q132" i="2"/>
  <c r="S129" i="2"/>
  <c r="H129" i="2"/>
  <c r="M95" i="2"/>
  <c r="R95" i="2"/>
  <c r="U95" i="2"/>
  <c r="I95" i="2"/>
  <c r="L95" i="2"/>
  <c r="Y95" i="2"/>
  <c r="T95" i="2"/>
  <c r="Q95" i="2"/>
  <c r="K95" i="2"/>
  <c r="H95" i="2"/>
  <c r="W95" i="2"/>
  <c r="S95" i="2"/>
  <c r="X95" i="2"/>
  <c r="N95" i="2"/>
  <c r="J95" i="2"/>
  <c r="V95" i="2"/>
  <c r="Z95" i="2"/>
  <c r="M138" i="2"/>
  <c r="R138" i="2"/>
  <c r="U135" i="2"/>
  <c r="I135" i="2"/>
  <c r="L132" i="2"/>
  <c r="Y132" i="2"/>
  <c r="T129" i="2"/>
  <c r="J128" i="2"/>
  <c r="W128" i="2"/>
  <c r="V128" i="2"/>
  <c r="Z128" i="2"/>
  <c r="N128" i="2"/>
  <c r="M128" i="2"/>
  <c r="R128" i="2"/>
  <c r="U128" i="2"/>
  <c r="I128" i="2"/>
  <c r="L128" i="2"/>
  <c r="Y128" i="2"/>
  <c r="T128" i="2"/>
  <c r="Q128" i="2"/>
  <c r="K128" i="2"/>
  <c r="H128" i="2"/>
  <c r="S128" i="2"/>
  <c r="X128" i="2"/>
  <c r="X103" i="2"/>
  <c r="K103" i="2"/>
  <c r="W103" i="2"/>
  <c r="S103" i="2"/>
  <c r="Z103" i="2"/>
  <c r="N103" i="2"/>
  <c r="J103" i="2"/>
  <c r="R103" i="2"/>
  <c r="V103" i="2"/>
  <c r="I103" i="2"/>
  <c r="M103" i="2"/>
  <c r="Y103" i="2"/>
  <c r="U103" i="2"/>
  <c r="Q103" i="2"/>
  <c r="L103" i="2"/>
  <c r="H103" i="2"/>
  <c r="T103" i="2"/>
  <c r="S122" i="2"/>
  <c r="X122" i="2"/>
  <c r="J122" i="2"/>
  <c r="W122" i="2"/>
  <c r="Z122" i="2"/>
  <c r="N122" i="2"/>
  <c r="R122" i="2"/>
  <c r="V122" i="2"/>
  <c r="I122" i="2"/>
  <c r="M122" i="2"/>
  <c r="Y122" i="2"/>
  <c r="U122" i="2"/>
  <c r="T122" i="2"/>
  <c r="Q122" i="2"/>
  <c r="L122" i="2"/>
  <c r="K122" i="2"/>
  <c r="H122" i="2"/>
  <c r="N123" i="2"/>
  <c r="J123" i="2"/>
  <c r="V123" i="2"/>
  <c r="Z123" i="2"/>
  <c r="M123" i="2"/>
  <c r="R123" i="2"/>
  <c r="U123" i="2"/>
  <c r="I123" i="2"/>
  <c r="L123" i="2"/>
  <c r="Y123" i="2"/>
  <c r="T123" i="2"/>
  <c r="Q123" i="2"/>
  <c r="K123" i="2"/>
  <c r="H123" i="2"/>
  <c r="W123" i="2"/>
  <c r="S123" i="2"/>
  <c r="X123" i="2"/>
  <c r="H127" i="2"/>
  <c r="T127" i="2"/>
  <c r="S127" i="2"/>
  <c r="X127" i="2"/>
  <c r="K127" i="2"/>
  <c r="J127" i="2"/>
  <c r="W127" i="2"/>
  <c r="Z127" i="2"/>
  <c r="N127" i="2"/>
  <c r="R127" i="2"/>
  <c r="V127" i="2"/>
  <c r="I127" i="2"/>
  <c r="M127" i="2"/>
  <c r="Y127" i="2"/>
  <c r="U127" i="2"/>
  <c r="Q127" i="2"/>
  <c r="L127" i="2"/>
  <c r="X129" i="2"/>
  <c r="K129" i="2"/>
  <c r="Z96" i="2"/>
  <c r="N96" i="2"/>
  <c r="J96" i="2"/>
  <c r="R96" i="2"/>
  <c r="V96" i="2"/>
  <c r="I96" i="2"/>
  <c r="M96" i="2"/>
  <c r="Y96" i="2"/>
  <c r="U96" i="2"/>
  <c r="Q96" i="2"/>
  <c r="L96" i="2"/>
  <c r="H96" i="2"/>
  <c r="T96" i="2"/>
  <c r="X96" i="2"/>
  <c r="K96" i="2"/>
  <c r="W96" i="2"/>
  <c r="S96" i="2"/>
  <c r="L117" i="2"/>
  <c r="X117" i="2"/>
  <c r="S117" i="2"/>
  <c r="W117" i="2"/>
  <c r="J117" i="2"/>
  <c r="N117" i="2"/>
  <c r="Z117" i="2"/>
  <c r="V117" i="2"/>
  <c r="R117" i="2"/>
  <c r="M117" i="2"/>
  <c r="I117" i="2"/>
  <c r="T117" i="2"/>
  <c r="Y117" i="2"/>
  <c r="K117" i="2"/>
  <c r="U117" i="2"/>
  <c r="Q117" i="2"/>
  <c r="H117" i="2"/>
  <c r="Y100" i="2"/>
  <c r="U100" i="2"/>
  <c r="I100" i="2"/>
  <c r="Q100" i="2"/>
  <c r="L100" i="2"/>
  <c r="H100" i="2"/>
  <c r="T100" i="2"/>
  <c r="X100" i="2"/>
  <c r="K100" i="2"/>
  <c r="W100" i="2"/>
  <c r="S100" i="2"/>
  <c r="N100" i="2"/>
  <c r="J100" i="2"/>
  <c r="V100" i="2"/>
  <c r="Z100" i="2"/>
  <c r="M100" i="2"/>
  <c r="R100" i="2"/>
  <c r="T136" i="2"/>
  <c r="Q136" i="2"/>
  <c r="K136" i="2"/>
  <c r="H136" i="2"/>
  <c r="S136" i="2"/>
  <c r="X136" i="2"/>
  <c r="J136" i="2"/>
  <c r="W136" i="2"/>
  <c r="V136" i="2"/>
  <c r="Z136" i="2"/>
  <c r="N136" i="2"/>
  <c r="M136" i="2"/>
  <c r="R136" i="2"/>
  <c r="U136" i="2"/>
  <c r="I136" i="2"/>
  <c r="L136" i="2"/>
  <c r="Y136" i="2"/>
  <c r="U125" i="2"/>
  <c r="I125" i="2"/>
  <c r="M125" i="2"/>
  <c r="L125" i="2"/>
  <c r="Y125" i="2"/>
  <c r="T125" i="2"/>
  <c r="Q125" i="2"/>
  <c r="K125" i="2"/>
  <c r="H125" i="2"/>
  <c r="S125" i="2"/>
  <c r="X125" i="2"/>
  <c r="J125" i="2"/>
  <c r="W125" i="2"/>
  <c r="Z125" i="2"/>
  <c r="N125" i="2"/>
  <c r="R125" i="2"/>
  <c r="V125" i="2"/>
  <c r="U109" i="2"/>
  <c r="I109" i="2"/>
  <c r="M109" i="2"/>
  <c r="L109" i="2"/>
  <c r="Y109" i="2"/>
  <c r="T109" i="2"/>
  <c r="Q109" i="2"/>
  <c r="K109" i="2"/>
  <c r="H109" i="2"/>
  <c r="S109" i="2"/>
  <c r="X109" i="2"/>
  <c r="J109" i="2"/>
  <c r="W109" i="2"/>
  <c r="Z109" i="2"/>
  <c r="N109" i="2"/>
  <c r="R109" i="2"/>
  <c r="V109" i="2"/>
  <c r="Y130" i="2"/>
  <c r="U130" i="2"/>
  <c r="T130" i="2"/>
  <c r="Q130" i="2"/>
  <c r="L130" i="2"/>
  <c r="K130" i="2"/>
  <c r="H130" i="2"/>
  <c r="S130" i="2"/>
  <c r="X130" i="2"/>
  <c r="J130" i="2"/>
  <c r="W130" i="2"/>
  <c r="Z130" i="2"/>
  <c r="N130" i="2"/>
  <c r="R130" i="2"/>
  <c r="V130" i="2"/>
  <c r="I130" i="2"/>
  <c r="M130" i="2"/>
  <c r="T131" i="2"/>
  <c r="Q131" i="2"/>
  <c r="K131" i="2"/>
  <c r="H131" i="2"/>
  <c r="W131" i="2"/>
  <c r="S131" i="2"/>
  <c r="X131" i="2"/>
  <c r="N131" i="2"/>
  <c r="J131" i="2"/>
  <c r="V131" i="2"/>
  <c r="Z131" i="2"/>
  <c r="M131" i="2"/>
  <c r="R131" i="2"/>
  <c r="U131" i="2"/>
  <c r="I131" i="2"/>
  <c r="L131" i="2"/>
  <c r="Y131" i="2"/>
  <c r="X116" i="2"/>
  <c r="H116" i="2"/>
  <c r="W116" i="2"/>
  <c r="Y116" i="2"/>
  <c r="N116" i="2"/>
  <c r="V116" i="2"/>
  <c r="U116" i="2"/>
  <c r="Q116" i="2"/>
  <c r="L116" i="2"/>
  <c r="M116" i="2"/>
  <c r="Z116" i="2"/>
  <c r="T116" i="2"/>
  <c r="K116" i="2"/>
  <c r="R116" i="2"/>
  <c r="S116" i="2"/>
  <c r="I116" i="2"/>
  <c r="J116" i="2"/>
  <c r="R97" i="2"/>
  <c r="V97" i="2"/>
  <c r="U97" i="2"/>
  <c r="I97" i="2"/>
  <c r="M97" i="2"/>
  <c r="L97" i="2"/>
  <c r="Y97" i="2"/>
  <c r="T97" i="2"/>
  <c r="Q97" i="2"/>
  <c r="K97" i="2"/>
  <c r="H97" i="2"/>
  <c r="S97" i="2"/>
  <c r="X97" i="2"/>
  <c r="J97" i="2"/>
  <c r="W97" i="2"/>
  <c r="Z97" i="2"/>
  <c r="N97" i="2"/>
  <c r="Q98" i="2"/>
  <c r="L98" i="2"/>
  <c r="H98" i="2"/>
  <c r="T98" i="2"/>
  <c r="S98" i="2"/>
  <c r="X98" i="2"/>
  <c r="K98" i="2"/>
  <c r="J98" i="2"/>
  <c r="W98" i="2"/>
  <c r="Z98" i="2"/>
  <c r="N98" i="2"/>
  <c r="R98" i="2"/>
  <c r="V98" i="2"/>
  <c r="I98" i="2"/>
  <c r="M98" i="2"/>
  <c r="Y98" i="2"/>
  <c r="U98" i="2"/>
  <c r="V138" i="2"/>
  <c r="Z138" i="2"/>
  <c r="M135" i="2"/>
  <c r="R135" i="2"/>
  <c r="U132" i="2"/>
  <c r="R132" i="2"/>
  <c r="L129" i="2"/>
  <c r="Y129" i="2"/>
  <c r="N138" i="2"/>
  <c r="J138" i="2"/>
  <c r="V135" i="2"/>
  <c r="Z135" i="2"/>
  <c r="V132" i="2"/>
  <c r="Z132" i="2"/>
  <c r="U129" i="2"/>
  <c r="W138" i="2"/>
  <c r="S138" i="2"/>
  <c r="N135" i="2"/>
  <c r="S135" i="2"/>
  <c r="N132" i="2"/>
  <c r="I129" i="2"/>
  <c r="M129" i="2"/>
  <c r="Y87" i="2"/>
  <c r="X87" i="2"/>
  <c r="W87" i="2"/>
  <c r="N87" i="2"/>
  <c r="V87" i="2"/>
  <c r="M87" i="2"/>
  <c r="U87" i="2"/>
  <c r="L87" i="2"/>
  <c r="T87" i="2"/>
  <c r="K87" i="2"/>
  <c r="Z87" i="2"/>
  <c r="S87" i="2"/>
  <c r="R87" i="2"/>
  <c r="Q87" i="2"/>
  <c r="J87" i="2"/>
  <c r="I87" i="2"/>
  <c r="H87" i="2"/>
  <c r="Z88" i="2"/>
  <c r="R88" i="2"/>
  <c r="I88" i="2"/>
  <c r="Y88" i="2"/>
  <c r="Q88" i="2"/>
  <c r="H88" i="2"/>
  <c r="X88" i="2"/>
  <c r="W88" i="2"/>
  <c r="N88" i="2"/>
  <c r="V88" i="2"/>
  <c r="M88" i="2"/>
  <c r="U88" i="2"/>
  <c r="L88" i="2"/>
  <c r="T88" i="2"/>
  <c r="K88" i="2"/>
  <c r="S88" i="2"/>
  <c r="J88" i="2"/>
  <c r="S91" i="2"/>
  <c r="J91" i="2"/>
  <c r="Z91" i="2"/>
  <c r="R91" i="2"/>
  <c r="I91" i="2"/>
  <c r="Y91" i="2"/>
  <c r="Q91" i="2"/>
  <c r="H91" i="2"/>
  <c r="X91" i="2"/>
  <c r="W91" i="2"/>
  <c r="N91" i="2"/>
  <c r="V91" i="2"/>
  <c r="M91" i="2"/>
  <c r="U91" i="2"/>
  <c r="L91" i="2"/>
  <c r="T91" i="2"/>
  <c r="K91" i="2"/>
  <c r="X90" i="2"/>
  <c r="W90" i="2"/>
  <c r="N90" i="2"/>
  <c r="V90" i="2"/>
  <c r="M90" i="2"/>
  <c r="U90" i="2"/>
  <c r="L90" i="2"/>
  <c r="T90" i="2"/>
  <c r="K90" i="2"/>
  <c r="S90" i="2"/>
  <c r="J90" i="2"/>
  <c r="Z90" i="2"/>
  <c r="R90" i="2"/>
  <c r="I90" i="2"/>
  <c r="Y90" i="2"/>
  <c r="Q90" i="2"/>
  <c r="H90" i="2"/>
  <c r="T94" i="2"/>
  <c r="K94" i="2"/>
  <c r="S94" i="2"/>
  <c r="J94" i="2"/>
  <c r="Z94" i="2"/>
  <c r="R94" i="2"/>
  <c r="I94" i="2"/>
  <c r="Y94" i="2"/>
  <c r="Q94" i="2"/>
  <c r="H94" i="2"/>
  <c r="X94" i="2"/>
  <c r="W94" i="2"/>
  <c r="N94" i="2"/>
  <c r="V94" i="2"/>
  <c r="M94" i="2"/>
  <c r="U94" i="2"/>
  <c r="L94" i="2"/>
  <c r="U89" i="2"/>
  <c r="L89" i="2"/>
  <c r="T89" i="2"/>
  <c r="K89" i="2"/>
  <c r="S89" i="2"/>
  <c r="J89" i="2"/>
  <c r="Z89" i="2"/>
  <c r="R89" i="2"/>
  <c r="I89" i="2"/>
  <c r="Y89" i="2"/>
  <c r="Q89" i="2"/>
  <c r="H89" i="2"/>
  <c r="X89" i="2"/>
  <c r="W89" i="2"/>
  <c r="N89" i="2"/>
  <c r="V89" i="2"/>
  <c r="M89" i="2"/>
  <c r="V92" i="2"/>
  <c r="M92" i="2"/>
  <c r="U92" i="2"/>
  <c r="L92" i="2"/>
  <c r="T92" i="2"/>
  <c r="K92" i="2"/>
  <c r="S92" i="2"/>
  <c r="J92" i="2"/>
  <c r="Z92" i="2"/>
  <c r="R92" i="2"/>
  <c r="I92" i="2"/>
  <c r="Y92" i="2"/>
  <c r="Q92" i="2"/>
  <c r="H92" i="2"/>
  <c r="X92" i="2"/>
  <c r="W92" i="2"/>
  <c r="N92" i="2"/>
  <c r="U86" i="2"/>
  <c r="L86" i="2"/>
  <c r="Z86" i="2"/>
  <c r="R86" i="2"/>
  <c r="I86" i="2"/>
  <c r="Q86" i="2"/>
  <c r="Y86" i="2"/>
  <c r="H86" i="2"/>
  <c r="N86" i="2"/>
  <c r="X86" i="2"/>
  <c r="K86" i="2"/>
  <c r="W86" i="2"/>
  <c r="V86" i="2"/>
  <c r="S86" i="2"/>
  <c r="M86" i="2"/>
  <c r="T86" i="2"/>
  <c r="J86" i="2"/>
  <c r="Y93" i="2"/>
  <c r="Q93" i="2"/>
  <c r="H93" i="2"/>
  <c r="X93" i="2"/>
  <c r="W93" i="2"/>
  <c r="N93" i="2"/>
  <c r="V93" i="2"/>
  <c r="M93" i="2"/>
  <c r="U93" i="2"/>
  <c r="L93" i="2"/>
  <c r="T93" i="2"/>
  <c r="K93" i="2"/>
  <c r="S93" i="2"/>
  <c r="J93" i="2"/>
  <c r="Z93" i="2"/>
  <c r="R93" i="2"/>
  <c r="I93" i="2"/>
  <c r="N82" i="2"/>
  <c r="U82" i="2"/>
  <c r="T82" i="2"/>
  <c r="S82" i="2"/>
  <c r="M82" i="2"/>
  <c r="L82" i="2"/>
  <c r="Q82" i="2"/>
  <c r="K82" i="2"/>
  <c r="I82" i="2"/>
  <c r="J82" i="2"/>
  <c r="H82" i="2"/>
  <c r="V82" i="2"/>
  <c r="X82" i="2"/>
  <c r="W82" i="2"/>
  <c r="R82" i="2"/>
  <c r="Z82" i="2"/>
  <c r="Y82" i="2"/>
  <c r="N80" i="2"/>
  <c r="N85" i="2"/>
  <c r="U85" i="2"/>
  <c r="M85" i="2"/>
  <c r="L85" i="2"/>
  <c r="K85" i="2"/>
  <c r="H85" i="2"/>
  <c r="V85" i="2"/>
  <c r="T85" i="2"/>
  <c r="S85" i="2"/>
  <c r="Q85" i="2"/>
  <c r="I85" i="2"/>
  <c r="J85" i="2"/>
  <c r="Z85" i="2"/>
  <c r="Y85" i="2"/>
  <c r="X85" i="2"/>
  <c r="W85" i="2"/>
  <c r="R85" i="2"/>
  <c r="N79" i="2"/>
  <c r="J79" i="2"/>
  <c r="I79" i="2"/>
  <c r="U79" i="2"/>
  <c r="M79" i="2"/>
  <c r="L79" i="2"/>
  <c r="K79" i="2"/>
  <c r="H79" i="2"/>
  <c r="V79" i="2"/>
  <c r="T79" i="2"/>
  <c r="S79" i="2"/>
  <c r="Q79" i="2"/>
  <c r="Z79" i="2"/>
  <c r="Y79" i="2"/>
  <c r="X79" i="2"/>
  <c r="W79" i="2"/>
  <c r="R79" i="2"/>
  <c r="N62" i="2"/>
  <c r="N55" i="2"/>
  <c r="H20" i="2"/>
  <c r="J11" i="2"/>
  <c r="T37" i="2"/>
  <c r="W20" i="2"/>
  <c r="N72" i="2"/>
  <c r="N19" i="2"/>
  <c r="N52" i="2"/>
  <c r="V31" i="2"/>
  <c r="Q62" i="2"/>
  <c r="H40" i="2"/>
  <c r="N54" i="2"/>
  <c r="J37" i="2"/>
  <c r="T62" i="2"/>
  <c r="W62" i="2"/>
  <c r="X62" i="2"/>
  <c r="N10" i="2"/>
  <c r="N56" i="2"/>
  <c r="N63" i="2"/>
  <c r="I63" i="2"/>
  <c r="U63" i="2"/>
  <c r="M63" i="2"/>
  <c r="K63" i="2"/>
  <c r="V63" i="2"/>
  <c r="T63" i="2"/>
  <c r="S63" i="2"/>
  <c r="Q63" i="2"/>
  <c r="L63" i="2"/>
  <c r="H63" i="2"/>
  <c r="J63" i="2"/>
  <c r="Y63" i="2"/>
  <c r="X63" i="2"/>
  <c r="W63" i="2"/>
  <c r="R63" i="2"/>
  <c r="Z63" i="2"/>
  <c r="N32" i="2"/>
  <c r="K32" i="2"/>
  <c r="Q32" i="2"/>
  <c r="M32" i="2"/>
  <c r="U32" i="2"/>
  <c r="V32" i="2"/>
  <c r="T32" i="2"/>
  <c r="S32" i="2"/>
  <c r="J32" i="2"/>
  <c r="I32" i="2"/>
  <c r="L32" i="2"/>
  <c r="H32" i="2"/>
  <c r="R32" i="2"/>
  <c r="Z32" i="2"/>
  <c r="Y32" i="2"/>
  <c r="X32" i="2"/>
  <c r="W32" i="2"/>
  <c r="N2" i="2"/>
  <c r="L2" i="2"/>
  <c r="J2" i="2"/>
  <c r="H2" i="2"/>
  <c r="Q2" i="2"/>
  <c r="S2" i="2"/>
  <c r="U2" i="2"/>
  <c r="M2" i="2"/>
  <c r="K2" i="2"/>
  <c r="I2" i="2"/>
  <c r="V2" i="2"/>
  <c r="T2" i="2"/>
  <c r="Z2" i="2"/>
  <c r="Y2" i="2"/>
  <c r="W2" i="2"/>
  <c r="R2" i="2"/>
  <c r="X2" i="2"/>
  <c r="N24" i="2"/>
  <c r="U24" i="2"/>
  <c r="I24" i="2"/>
  <c r="S24" i="2"/>
  <c r="K24" i="2"/>
  <c r="V24" i="2"/>
  <c r="Q24" i="2"/>
  <c r="J24" i="2"/>
  <c r="M24" i="2"/>
  <c r="T24" i="2"/>
  <c r="L24" i="2"/>
  <c r="H24" i="2"/>
  <c r="Z24" i="2"/>
  <c r="Y24" i="2"/>
  <c r="X24" i="2"/>
  <c r="W24" i="2"/>
  <c r="R24" i="2"/>
  <c r="N41" i="2"/>
  <c r="Z62" i="2"/>
  <c r="X37" i="2"/>
  <c r="W31" i="2"/>
  <c r="Z20" i="2"/>
  <c r="Q20" i="2"/>
  <c r="S31" i="2"/>
  <c r="T20" i="2"/>
  <c r="I40" i="2"/>
  <c r="J20" i="2"/>
  <c r="L10" i="2"/>
  <c r="L20" i="2"/>
  <c r="U40" i="2"/>
  <c r="Y11" i="2"/>
  <c r="K11" i="2"/>
  <c r="N28" i="2"/>
  <c r="U28" i="2"/>
  <c r="M28" i="2"/>
  <c r="K28" i="2"/>
  <c r="V28" i="2"/>
  <c r="T28" i="2"/>
  <c r="S28" i="2"/>
  <c r="Q28" i="2"/>
  <c r="I28" i="2"/>
  <c r="L28" i="2"/>
  <c r="H28" i="2"/>
  <c r="J28" i="2"/>
  <c r="R28" i="2"/>
  <c r="X28" i="2"/>
  <c r="Z28" i="2"/>
  <c r="Y28" i="2"/>
  <c r="W28" i="2"/>
  <c r="R62" i="2"/>
  <c r="W40" i="2"/>
  <c r="Y37" i="2"/>
  <c r="X31" i="2"/>
  <c r="R20" i="2"/>
  <c r="S20" i="2"/>
  <c r="T40" i="2"/>
  <c r="V20" i="2"/>
  <c r="J40" i="2"/>
  <c r="K10" i="2"/>
  <c r="M40" i="2"/>
  <c r="Z11" i="2"/>
  <c r="L11" i="2"/>
  <c r="N42" i="2"/>
  <c r="U42" i="2"/>
  <c r="M42" i="2"/>
  <c r="K42" i="2"/>
  <c r="V42" i="2"/>
  <c r="T42" i="2"/>
  <c r="S42" i="2"/>
  <c r="Q42" i="2"/>
  <c r="L42" i="2"/>
  <c r="H42" i="2"/>
  <c r="J42" i="2"/>
  <c r="I42" i="2"/>
  <c r="Z42" i="2"/>
  <c r="Y42" i="2"/>
  <c r="X42" i="2"/>
  <c r="W42" i="2"/>
  <c r="R42" i="2"/>
  <c r="X40" i="2"/>
  <c r="Z37" i="2"/>
  <c r="Y31" i="2"/>
  <c r="V62" i="2"/>
  <c r="I37" i="2"/>
  <c r="I31" i="2"/>
  <c r="K37" i="2"/>
  <c r="M37" i="2"/>
  <c r="U37" i="2"/>
  <c r="T11" i="2"/>
  <c r="Q11" i="2"/>
  <c r="W70" i="2"/>
  <c r="N70" i="2"/>
  <c r="V70" i="2"/>
  <c r="M70" i="2"/>
  <c r="U70" i="2"/>
  <c r="L70" i="2"/>
  <c r="T70" i="2"/>
  <c r="K70" i="2"/>
  <c r="H70" i="2"/>
  <c r="S70" i="2"/>
  <c r="J70" i="2"/>
  <c r="Q70" i="2"/>
  <c r="R70" i="2"/>
  <c r="I70" i="2"/>
  <c r="X70" i="2"/>
  <c r="N65" i="2"/>
  <c r="U65" i="2"/>
  <c r="M65" i="2"/>
  <c r="K65" i="2"/>
  <c r="V65" i="2"/>
  <c r="T65" i="2"/>
  <c r="S65" i="2"/>
  <c r="Q65" i="2"/>
  <c r="I65" i="2"/>
  <c r="L65" i="2"/>
  <c r="H65" i="2"/>
  <c r="J65" i="2"/>
  <c r="X65" i="2"/>
  <c r="W65" i="2"/>
  <c r="R65" i="2"/>
  <c r="Z65" i="2"/>
  <c r="Y65" i="2"/>
  <c r="N21" i="2"/>
  <c r="U21" i="2"/>
  <c r="M21" i="2"/>
  <c r="K21" i="2"/>
  <c r="V21" i="2"/>
  <c r="T21" i="2"/>
  <c r="S21" i="2"/>
  <c r="Q21" i="2"/>
  <c r="L21" i="2"/>
  <c r="H21" i="2"/>
  <c r="J21" i="2"/>
  <c r="I21" i="2"/>
  <c r="W21" i="2"/>
  <c r="R21" i="2"/>
  <c r="Z21" i="2"/>
  <c r="X21" i="2"/>
  <c r="Y21" i="2"/>
  <c r="N20" i="2"/>
  <c r="N36" i="2"/>
  <c r="I36" i="2"/>
  <c r="U36" i="2"/>
  <c r="M36" i="2"/>
  <c r="K36" i="2"/>
  <c r="V36" i="2"/>
  <c r="T36" i="2"/>
  <c r="S36" i="2"/>
  <c r="Q36" i="2"/>
  <c r="L36" i="2"/>
  <c r="H36" i="2"/>
  <c r="J36" i="2"/>
  <c r="Z36" i="2"/>
  <c r="Y36" i="2"/>
  <c r="X36" i="2"/>
  <c r="W36" i="2"/>
  <c r="R36" i="2"/>
  <c r="N50" i="2"/>
  <c r="U50" i="2"/>
  <c r="M50" i="2"/>
  <c r="K50" i="2"/>
  <c r="V50" i="2"/>
  <c r="T50" i="2"/>
  <c r="L50" i="2"/>
  <c r="J50" i="2"/>
  <c r="H50" i="2"/>
  <c r="I50" i="2"/>
  <c r="Q50" i="2"/>
  <c r="S50" i="2"/>
  <c r="R50" i="2"/>
  <c r="Z50" i="2"/>
  <c r="Y50" i="2"/>
  <c r="X50" i="2"/>
  <c r="W50" i="2"/>
  <c r="N35" i="2"/>
  <c r="I35" i="2"/>
  <c r="U35" i="2"/>
  <c r="M35" i="2"/>
  <c r="K35" i="2"/>
  <c r="V35" i="2"/>
  <c r="T35" i="2"/>
  <c r="S35" i="2"/>
  <c r="Q35" i="2"/>
  <c r="L35" i="2"/>
  <c r="H35" i="2"/>
  <c r="J35" i="2"/>
  <c r="Y35" i="2"/>
  <c r="X35" i="2"/>
  <c r="W35" i="2"/>
  <c r="R35" i="2"/>
  <c r="Z35" i="2"/>
  <c r="Y40" i="2"/>
  <c r="X10" i="2"/>
  <c r="Z31" i="2"/>
  <c r="Q37" i="2"/>
  <c r="V10" i="2"/>
  <c r="J31" i="2"/>
  <c r="K20" i="2"/>
  <c r="M31" i="2"/>
  <c r="U20" i="2"/>
  <c r="U11" i="2"/>
  <c r="S11" i="2"/>
  <c r="N29" i="2"/>
  <c r="U29" i="2"/>
  <c r="M29" i="2"/>
  <c r="K29" i="2"/>
  <c r="V29" i="2"/>
  <c r="L29" i="2"/>
  <c r="J29" i="2"/>
  <c r="H29" i="2"/>
  <c r="I29" i="2"/>
  <c r="S29" i="2"/>
  <c r="Q29" i="2"/>
  <c r="T29" i="2"/>
  <c r="X29" i="2"/>
  <c r="W29" i="2"/>
  <c r="R29" i="2"/>
  <c r="Z29" i="2"/>
  <c r="Y29" i="2"/>
  <c r="N51" i="2"/>
  <c r="L51" i="2"/>
  <c r="I51" i="2"/>
  <c r="H51" i="2"/>
  <c r="Q51" i="2"/>
  <c r="U51" i="2"/>
  <c r="M51" i="2"/>
  <c r="K51" i="2"/>
  <c r="J51" i="2"/>
  <c r="V51" i="2"/>
  <c r="T51" i="2"/>
  <c r="S51" i="2"/>
  <c r="W51" i="2"/>
  <c r="R51" i="2"/>
  <c r="Z51" i="2"/>
  <c r="Y51" i="2"/>
  <c r="X51" i="2"/>
  <c r="N58" i="2"/>
  <c r="V58" i="2"/>
  <c r="T58" i="2"/>
  <c r="S58" i="2"/>
  <c r="K58" i="2"/>
  <c r="I58" i="2"/>
  <c r="M58" i="2"/>
  <c r="J58" i="2"/>
  <c r="U58" i="2"/>
  <c r="Q58" i="2"/>
  <c r="L58" i="2"/>
  <c r="H58" i="2"/>
  <c r="Z58" i="2"/>
  <c r="Y58" i="2"/>
  <c r="X58" i="2"/>
  <c r="W58" i="2"/>
  <c r="R58" i="2"/>
  <c r="N12" i="2"/>
  <c r="J12" i="2"/>
  <c r="I12" i="2"/>
  <c r="Q12" i="2"/>
  <c r="K12" i="2"/>
  <c r="U12" i="2"/>
  <c r="M12" i="2"/>
  <c r="V12" i="2"/>
  <c r="T12" i="2"/>
  <c r="S12" i="2"/>
  <c r="L12" i="2"/>
  <c r="H12" i="2"/>
  <c r="X12" i="2"/>
  <c r="R12" i="2"/>
  <c r="W12" i="2"/>
  <c r="Z12" i="2"/>
  <c r="Y12" i="2"/>
  <c r="N26" i="2"/>
  <c r="J26" i="2"/>
  <c r="S26" i="2"/>
  <c r="Q26" i="2"/>
  <c r="I26" i="2"/>
  <c r="V26" i="2"/>
  <c r="T26" i="2"/>
  <c r="U26" i="2"/>
  <c r="M26" i="2"/>
  <c r="K26" i="2"/>
  <c r="L26" i="2"/>
  <c r="H26" i="2"/>
  <c r="Z26" i="2"/>
  <c r="R26" i="2"/>
  <c r="Y26" i="2"/>
  <c r="X26" i="2"/>
  <c r="W26" i="2"/>
  <c r="N61" i="2"/>
  <c r="J61" i="2"/>
  <c r="I61" i="2"/>
  <c r="T61" i="2"/>
  <c r="S61" i="2"/>
  <c r="K61" i="2"/>
  <c r="U61" i="2"/>
  <c r="M61" i="2"/>
  <c r="V61" i="2"/>
  <c r="Q61" i="2"/>
  <c r="L61" i="2"/>
  <c r="H61" i="2"/>
  <c r="Z61" i="2"/>
  <c r="Y61" i="2"/>
  <c r="X61" i="2"/>
  <c r="W61" i="2"/>
  <c r="R61" i="2"/>
  <c r="Z40" i="2"/>
  <c r="W10" i="2"/>
  <c r="R31" i="2"/>
  <c r="S40" i="2"/>
  <c r="T31" i="2"/>
  <c r="T10" i="2"/>
  <c r="V40" i="2"/>
  <c r="I10" i="2"/>
  <c r="H31" i="2"/>
  <c r="L62" i="2"/>
  <c r="L31" i="2"/>
  <c r="U62" i="2"/>
  <c r="I11" i="2"/>
  <c r="M11" i="2"/>
  <c r="Q40" i="2"/>
  <c r="J10" i="2"/>
  <c r="I62" i="2"/>
  <c r="K62" i="2"/>
  <c r="K31" i="2"/>
  <c r="M62" i="2"/>
  <c r="R11" i="2"/>
  <c r="V11" i="2"/>
  <c r="N11" i="2"/>
  <c r="U31" i="2"/>
  <c r="N27" i="2"/>
  <c r="I27" i="2"/>
  <c r="U27" i="2"/>
  <c r="M27" i="2"/>
  <c r="K27" i="2"/>
  <c r="V27" i="2"/>
  <c r="T27" i="2"/>
  <c r="S27" i="2"/>
  <c r="Q27" i="2"/>
  <c r="L27" i="2"/>
  <c r="H27" i="2"/>
  <c r="J27" i="2"/>
  <c r="W27" i="2"/>
  <c r="Z27" i="2"/>
  <c r="Y27" i="2"/>
  <c r="X27" i="2"/>
  <c r="R27" i="2"/>
  <c r="N8" i="2"/>
  <c r="R40" i="2"/>
  <c r="Y10" i="2"/>
  <c r="N40" i="2"/>
  <c r="N60" i="2"/>
  <c r="L60" i="2"/>
  <c r="J60" i="2"/>
  <c r="I60" i="2"/>
  <c r="H60" i="2"/>
  <c r="U60" i="2"/>
  <c r="M60" i="2"/>
  <c r="K60" i="2"/>
  <c r="V60" i="2"/>
  <c r="T60" i="2"/>
  <c r="S60" i="2"/>
  <c r="Q60" i="2"/>
  <c r="Y60" i="2"/>
  <c r="X60" i="2"/>
  <c r="W60" i="2"/>
  <c r="R60" i="2"/>
  <c r="Z60" i="2"/>
  <c r="N25" i="2"/>
  <c r="L25" i="2"/>
  <c r="J25" i="2"/>
  <c r="Q25" i="2"/>
  <c r="I25" i="2"/>
  <c r="H25" i="2"/>
  <c r="U25" i="2"/>
  <c r="M25" i="2"/>
  <c r="K25" i="2"/>
  <c r="V25" i="2"/>
  <c r="T25" i="2"/>
  <c r="S25" i="2"/>
  <c r="X25" i="2"/>
  <c r="Z25" i="2"/>
  <c r="Y25" i="2"/>
  <c r="W25" i="2"/>
  <c r="R25" i="2"/>
  <c r="N9" i="2"/>
  <c r="M9" i="2"/>
  <c r="S9" i="2"/>
  <c r="Q9" i="2"/>
  <c r="I9" i="2"/>
  <c r="J9" i="2"/>
  <c r="U9" i="2"/>
  <c r="K9" i="2"/>
  <c r="V9" i="2"/>
  <c r="T9" i="2"/>
  <c r="L9" i="2"/>
  <c r="H9" i="2"/>
  <c r="Z9" i="2"/>
  <c r="Y9" i="2"/>
  <c r="X9" i="2"/>
  <c r="W9" i="2"/>
  <c r="R9" i="2"/>
  <c r="N37" i="2"/>
  <c r="N18" i="2"/>
  <c r="U18" i="2"/>
  <c r="M18" i="2"/>
  <c r="K18" i="2"/>
  <c r="V18" i="2"/>
  <c r="T18" i="2"/>
  <c r="S18" i="2"/>
  <c r="Q18" i="2"/>
  <c r="L18" i="2"/>
  <c r="H18" i="2"/>
  <c r="J18" i="2"/>
  <c r="I18" i="2"/>
  <c r="Z18" i="2"/>
  <c r="Y18" i="2"/>
  <c r="W18" i="2"/>
  <c r="R18" i="2"/>
  <c r="X18" i="2"/>
  <c r="R37" i="2"/>
  <c r="Z10" i="2"/>
  <c r="X20" i="2"/>
  <c r="Q10" i="2"/>
  <c r="S37" i="2"/>
  <c r="S62" i="2"/>
  <c r="V37" i="2"/>
  <c r="H37" i="2"/>
  <c r="H10" i="2"/>
  <c r="J62" i="2"/>
  <c r="L40" i="2"/>
  <c r="L37" i="2"/>
  <c r="U10" i="2"/>
  <c r="W11" i="2"/>
  <c r="H11" i="2"/>
  <c r="N31" i="2"/>
  <c r="N66" i="2"/>
  <c r="U66" i="2"/>
  <c r="M66" i="2"/>
  <c r="K66" i="2"/>
  <c r="V66" i="2"/>
  <c r="T66" i="2"/>
  <c r="S66" i="2"/>
  <c r="Q66" i="2"/>
  <c r="L66" i="2"/>
  <c r="H66" i="2"/>
  <c r="J66" i="2"/>
  <c r="I66" i="2"/>
  <c r="Y66" i="2"/>
  <c r="X66" i="2"/>
  <c r="W66" i="2"/>
  <c r="R66" i="2"/>
  <c r="Z66" i="2"/>
  <c r="N15" i="2"/>
  <c r="I15" i="2"/>
  <c r="U15" i="2"/>
  <c r="M15" i="2"/>
  <c r="K15" i="2"/>
  <c r="V15" i="2"/>
  <c r="T15" i="2"/>
  <c r="S15" i="2"/>
  <c r="Q15" i="2"/>
  <c r="L15" i="2"/>
  <c r="H15" i="2"/>
  <c r="J15" i="2"/>
  <c r="W15" i="2"/>
  <c r="Z15" i="2"/>
  <c r="Y15" i="2"/>
  <c r="X15" i="2"/>
  <c r="R15" i="2"/>
  <c r="N48" i="2"/>
  <c r="N22" i="2"/>
  <c r="U22" i="2"/>
  <c r="M22" i="2"/>
  <c r="K22" i="2"/>
  <c r="V22" i="2"/>
  <c r="L22" i="2"/>
  <c r="J22" i="2"/>
  <c r="H22" i="2"/>
  <c r="I22" i="2"/>
  <c r="T22" i="2"/>
  <c r="Q22" i="2"/>
  <c r="S22" i="2"/>
  <c r="X22" i="2"/>
  <c r="W22" i="2"/>
  <c r="R22" i="2"/>
  <c r="Z22" i="2"/>
  <c r="Y22" i="2"/>
  <c r="N34" i="2"/>
  <c r="J34" i="2"/>
  <c r="I34" i="2"/>
  <c r="M34" i="2"/>
  <c r="V34" i="2"/>
  <c r="S34" i="2"/>
  <c r="Q34" i="2"/>
  <c r="U34" i="2"/>
  <c r="K34" i="2"/>
  <c r="T34" i="2"/>
  <c r="L34" i="2"/>
  <c r="H34" i="2"/>
  <c r="X34" i="2"/>
  <c r="W34" i="2"/>
  <c r="R34" i="2"/>
  <c r="Z34" i="2"/>
  <c r="Y34" i="2"/>
  <c r="N23" i="2"/>
  <c r="L23" i="2"/>
  <c r="I23" i="2"/>
  <c r="H23" i="2"/>
  <c r="Q23" i="2"/>
  <c r="U23" i="2"/>
  <c r="M23" i="2"/>
  <c r="K23" i="2"/>
  <c r="J23" i="2"/>
  <c r="V23" i="2"/>
  <c r="T23" i="2"/>
  <c r="S23" i="2"/>
  <c r="Y23" i="2"/>
  <c r="R23" i="2"/>
  <c r="X23" i="2"/>
  <c r="W23" i="2"/>
  <c r="Z23" i="2"/>
  <c r="Y62" i="2"/>
  <c r="W37" i="2"/>
  <c r="R10" i="2"/>
  <c r="Y20" i="2"/>
  <c r="Q31" i="2"/>
  <c r="S10" i="2"/>
  <c r="H62" i="2"/>
  <c r="I20" i="2"/>
  <c r="K40" i="2"/>
  <c r="M20" i="2"/>
  <c r="M10" i="2"/>
  <c r="X11" i="2"/>
  <c r="N67" i="2"/>
  <c r="Z4" i="2"/>
  <c r="R4" i="2"/>
  <c r="I4" i="2"/>
  <c r="Y4" i="2"/>
  <c r="Q4" i="2"/>
  <c r="H4" i="2"/>
  <c r="X4" i="2"/>
  <c r="W4" i="2"/>
  <c r="N4" i="2"/>
  <c r="S4" i="2"/>
  <c r="V4" i="2"/>
  <c r="M4" i="2"/>
  <c r="U4" i="2"/>
  <c r="L4" i="2"/>
  <c r="T4" i="2"/>
  <c r="K4" i="2"/>
  <c r="J4" i="2"/>
  <c r="Z39" i="2"/>
  <c r="R39" i="2"/>
  <c r="H39" i="2"/>
  <c r="Y39" i="2"/>
  <c r="Q39" i="2"/>
  <c r="X39" i="2"/>
  <c r="W39" i="2"/>
  <c r="N39" i="2"/>
  <c r="K39" i="2"/>
  <c r="V39" i="2"/>
  <c r="M39" i="2"/>
  <c r="U39" i="2"/>
  <c r="L39" i="2"/>
  <c r="T39" i="2"/>
  <c r="S39" i="2"/>
  <c r="J39" i="2"/>
  <c r="I39" i="2"/>
  <c r="N78" i="2"/>
  <c r="N7" i="2"/>
  <c r="N59" i="2"/>
  <c r="Z44" i="2"/>
  <c r="N77" i="2"/>
  <c r="N53" i="2"/>
  <c r="Y44" i="2"/>
  <c r="Q44" i="2"/>
  <c r="I44" i="2"/>
  <c r="M44" i="2"/>
  <c r="R44" i="2"/>
  <c r="S44" i="2"/>
  <c r="V44" i="2"/>
  <c r="J44" i="2"/>
  <c r="L44" i="2"/>
  <c r="N5" i="2"/>
  <c r="N3" i="2"/>
  <c r="Q3" i="2"/>
  <c r="U3" i="2"/>
  <c r="T3" i="2"/>
  <c r="J3" i="2"/>
  <c r="M3" i="2"/>
  <c r="I3" i="2"/>
  <c r="S3" i="2"/>
  <c r="H3" i="2"/>
  <c r="L3" i="2"/>
  <c r="K3" i="2"/>
  <c r="V3" i="2"/>
  <c r="X3" i="2"/>
  <c r="W3" i="2"/>
  <c r="R3" i="2"/>
  <c r="Z3" i="2"/>
  <c r="Y3" i="2"/>
  <c r="N75" i="2"/>
  <c r="N76" i="2"/>
  <c r="J76" i="2"/>
  <c r="Q76" i="2"/>
  <c r="L76" i="2"/>
  <c r="I76" i="2"/>
  <c r="K76" i="2"/>
  <c r="H76" i="2"/>
  <c r="V76" i="2"/>
  <c r="U76" i="2"/>
  <c r="T76" i="2"/>
  <c r="M76" i="2"/>
  <c r="S76" i="2"/>
  <c r="Z76" i="2"/>
  <c r="Y76" i="2"/>
  <c r="X76" i="2"/>
  <c r="W76" i="2"/>
  <c r="R76" i="2"/>
  <c r="N69" i="2"/>
  <c r="W44" i="2"/>
  <c r="H44" i="2"/>
  <c r="K44" i="2"/>
  <c r="N47" i="2"/>
  <c r="N83" i="2"/>
  <c r="M83" i="2"/>
  <c r="S83" i="2"/>
  <c r="Q83" i="2"/>
  <c r="L83" i="2"/>
  <c r="K83" i="2"/>
  <c r="H83" i="2"/>
  <c r="V83" i="2"/>
  <c r="J83" i="2"/>
  <c r="U83" i="2"/>
  <c r="I83" i="2"/>
  <c r="T83" i="2"/>
  <c r="W83" i="2"/>
  <c r="R83" i="2"/>
  <c r="Z83" i="2"/>
  <c r="Y83" i="2"/>
  <c r="X83" i="2"/>
  <c r="N6" i="2"/>
  <c r="N13" i="2"/>
  <c r="J13" i="2"/>
  <c r="L13" i="2"/>
  <c r="I13" i="2"/>
  <c r="K13" i="2"/>
  <c r="H13" i="2"/>
  <c r="V13" i="2"/>
  <c r="U13" i="2"/>
  <c r="T13" i="2"/>
  <c r="M13" i="2"/>
  <c r="S13" i="2"/>
  <c r="Q13" i="2"/>
  <c r="Z13" i="2"/>
  <c r="Y13" i="2"/>
  <c r="X13" i="2"/>
  <c r="W13" i="2"/>
  <c r="R13" i="2"/>
  <c r="N74" i="2"/>
  <c r="N30" i="2"/>
  <c r="N81" i="2"/>
  <c r="X44" i="2"/>
  <c r="U44" i="2"/>
  <c r="N84" i="2"/>
  <c r="M84" i="2"/>
  <c r="S84" i="2"/>
  <c r="Q84" i="2"/>
  <c r="L84" i="2"/>
  <c r="K84" i="2"/>
  <c r="J84" i="2"/>
  <c r="H84" i="2"/>
  <c r="V84" i="2"/>
  <c r="I84" i="2"/>
  <c r="U84" i="2"/>
  <c r="T84" i="2"/>
  <c r="X84" i="2"/>
  <c r="W84" i="2"/>
  <c r="R84" i="2"/>
  <c r="Z84" i="2"/>
  <c r="Y84" i="2"/>
  <c r="N64" i="2"/>
  <c r="N46" i="2"/>
  <c r="N68" i="2"/>
  <c r="N73" i="2"/>
  <c r="N71" i="2"/>
  <c r="N45" i="2"/>
  <c r="N16" i="2"/>
  <c r="U16" i="2"/>
  <c r="T16" i="2"/>
  <c r="J16" i="2"/>
  <c r="M16" i="2"/>
  <c r="I16" i="2"/>
  <c r="S16" i="2"/>
  <c r="Q16" i="2"/>
  <c r="L16" i="2"/>
  <c r="K16" i="2"/>
  <c r="H16" i="2"/>
  <c r="V16" i="2"/>
  <c r="W16" i="2"/>
  <c r="R16" i="2"/>
  <c r="Z16" i="2"/>
  <c r="Y16" i="2"/>
  <c r="X16" i="2"/>
  <c r="N43" i="2"/>
  <c r="N49" i="2"/>
  <c r="N38" i="2"/>
  <c r="N17" i="2"/>
  <c r="U17" i="2"/>
  <c r="J17" i="2"/>
  <c r="T17" i="2"/>
  <c r="I17" i="2"/>
  <c r="M17" i="2"/>
  <c r="S17" i="2"/>
  <c r="Q17" i="2"/>
  <c r="L17" i="2"/>
  <c r="K17" i="2"/>
  <c r="H17" i="2"/>
  <c r="V17" i="2"/>
  <c r="X17" i="2"/>
  <c r="W17" i="2"/>
  <c r="R17" i="2"/>
  <c r="Z17" i="2"/>
  <c r="Y17" i="2"/>
  <c r="N14" i="2"/>
  <c r="L14" i="2"/>
  <c r="K14" i="2"/>
  <c r="H14" i="2"/>
  <c r="V14" i="2"/>
  <c r="U14" i="2"/>
  <c r="T14" i="2"/>
  <c r="M14" i="2"/>
  <c r="J14" i="2"/>
  <c r="Q14" i="2"/>
  <c r="I14" i="2"/>
  <c r="S14" i="2"/>
  <c r="Z14" i="2"/>
  <c r="Y14" i="2"/>
  <c r="R14" i="2"/>
  <c r="X14" i="2"/>
  <c r="W14" i="2"/>
  <c r="N57" i="2"/>
  <c r="N44" i="2"/>
  <c r="T44" i="2"/>
  <c r="U68" i="2"/>
  <c r="U8" i="2"/>
  <c r="U59" i="2"/>
  <c r="U56" i="2"/>
  <c r="U71" i="2"/>
  <c r="U6" i="2"/>
  <c r="U77" i="2"/>
  <c r="U54" i="2"/>
  <c r="M78" i="2"/>
  <c r="U78" i="2"/>
  <c r="U64" i="2"/>
  <c r="U19" i="2"/>
  <c r="U57" i="2"/>
  <c r="U52" i="2"/>
  <c r="U7" i="2"/>
  <c r="U5" i="2"/>
  <c r="M73" i="2"/>
  <c r="U73" i="2"/>
  <c r="U80" i="2"/>
  <c r="U55" i="2"/>
  <c r="U46" i="2"/>
  <c r="U30" i="2"/>
  <c r="U81" i="2"/>
  <c r="U45" i="2"/>
  <c r="U41" i="2"/>
  <c r="U53" i="2"/>
  <c r="U47" i="2"/>
  <c r="U69" i="2"/>
  <c r="U75" i="2"/>
  <c r="U74" i="2"/>
  <c r="U48" i="2"/>
  <c r="M67" i="2"/>
  <c r="U67" i="2"/>
  <c r="U49" i="2"/>
  <c r="U38" i="2"/>
  <c r="U43" i="2"/>
  <c r="M72" i="2"/>
  <c r="U72" i="2"/>
  <c r="M8" i="2"/>
  <c r="M38" i="2"/>
  <c r="M43" i="2"/>
  <c r="M56" i="2"/>
  <c r="M49" i="2"/>
  <c r="M45" i="2"/>
  <c r="M41" i="2"/>
  <c r="M53" i="2"/>
  <c r="M54" i="2"/>
  <c r="M64" i="2"/>
  <c r="M47" i="2"/>
  <c r="M80" i="2"/>
  <c r="M19" i="2"/>
  <c r="M71" i="2"/>
  <c r="M57" i="2"/>
  <c r="M52" i="2"/>
  <c r="M7" i="2"/>
  <c r="M68" i="2"/>
  <c r="M5" i="2"/>
  <c r="M6" i="2"/>
  <c r="M77" i="2"/>
  <c r="M55" i="2"/>
  <c r="M46" i="2"/>
  <c r="M69" i="2"/>
  <c r="M30" i="2"/>
  <c r="M81" i="2"/>
  <c r="M75" i="2"/>
  <c r="M74" i="2"/>
  <c r="M48" i="2"/>
  <c r="M59" i="2"/>
  <c r="L49" i="2"/>
  <c r="L52" i="2"/>
  <c r="L7" i="2"/>
  <c r="L68" i="2"/>
  <c r="L45" i="2"/>
  <c r="L53" i="2"/>
  <c r="L8" i="2"/>
  <c r="L41" i="2"/>
  <c r="L57" i="2"/>
  <c r="L69" i="2"/>
  <c r="L55" i="2"/>
  <c r="L46" i="2"/>
  <c r="L30" i="2"/>
  <c r="L81" i="2"/>
  <c r="L75" i="2"/>
  <c r="L74" i="2"/>
  <c r="L48" i="2"/>
  <c r="L5" i="2"/>
  <c r="K73" i="2"/>
  <c r="L73" i="2"/>
  <c r="L38" i="2"/>
  <c r="L43" i="2"/>
  <c r="K72" i="2"/>
  <c r="L72" i="2"/>
  <c r="L59" i="2"/>
  <c r="K67" i="2"/>
  <c r="L67" i="2"/>
  <c r="L56" i="2"/>
  <c r="L71" i="2"/>
  <c r="L6" i="2"/>
  <c r="L77" i="2"/>
  <c r="L54" i="2"/>
  <c r="K78" i="2"/>
  <c r="L78" i="2"/>
  <c r="L64" i="2"/>
  <c r="L47" i="2"/>
  <c r="L80" i="2"/>
  <c r="L19" i="2"/>
  <c r="K8" i="2"/>
  <c r="K56" i="2"/>
  <c r="K59" i="2"/>
  <c r="K38" i="2"/>
  <c r="K43" i="2"/>
  <c r="K49" i="2"/>
  <c r="K45" i="2"/>
  <c r="K41" i="2"/>
  <c r="K53" i="2"/>
  <c r="K54" i="2"/>
  <c r="K64" i="2"/>
  <c r="K47" i="2"/>
  <c r="K80" i="2"/>
  <c r="K19" i="2"/>
  <c r="K71" i="2"/>
  <c r="K6" i="2"/>
  <c r="K77" i="2"/>
  <c r="K57" i="2"/>
  <c r="K52" i="2"/>
  <c r="K7" i="2"/>
  <c r="K68" i="2"/>
  <c r="K5" i="2"/>
  <c r="K69" i="2"/>
  <c r="K55" i="2"/>
  <c r="K46" i="2"/>
  <c r="K30" i="2"/>
  <c r="K81" i="2"/>
  <c r="K75" i="2"/>
  <c r="K74" i="2"/>
  <c r="K48" i="2"/>
  <c r="J64" i="2"/>
  <c r="I64" i="2"/>
  <c r="J47" i="2"/>
  <c r="I47" i="2"/>
  <c r="J80" i="2"/>
  <c r="I80" i="2"/>
  <c r="J19" i="2"/>
  <c r="I19" i="2"/>
  <c r="J69" i="2"/>
  <c r="I69" i="2"/>
  <c r="J55" i="2"/>
  <c r="I55" i="2"/>
  <c r="J46" i="2"/>
  <c r="I46" i="2"/>
  <c r="J30" i="2"/>
  <c r="I30" i="2"/>
  <c r="J81" i="2"/>
  <c r="I81" i="2"/>
  <c r="J38" i="2"/>
  <c r="I38" i="2"/>
  <c r="J43" i="2"/>
  <c r="I43" i="2"/>
  <c r="J72" i="2"/>
  <c r="I72" i="2"/>
  <c r="J59" i="2"/>
  <c r="I59" i="2"/>
  <c r="J67" i="2"/>
  <c r="I67" i="2"/>
  <c r="J56" i="2"/>
  <c r="I56" i="2"/>
  <c r="J75" i="2"/>
  <c r="I75" i="2"/>
  <c r="J45" i="2"/>
  <c r="I45" i="2"/>
  <c r="J53" i="2"/>
  <c r="I53" i="2"/>
  <c r="J71" i="2"/>
  <c r="I71" i="2"/>
  <c r="J6" i="2"/>
  <c r="I6" i="2"/>
  <c r="J77" i="2"/>
  <c r="I77" i="2"/>
  <c r="J8" i="2"/>
  <c r="I8" i="2"/>
  <c r="J54" i="2"/>
  <c r="I54" i="2"/>
  <c r="J78" i="2"/>
  <c r="I78" i="2"/>
  <c r="J74" i="2"/>
  <c r="I74" i="2"/>
  <c r="J48" i="2"/>
  <c r="I48" i="2"/>
  <c r="J49" i="2"/>
  <c r="I49" i="2"/>
  <c r="J41" i="2"/>
  <c r="I41" i="2"/>
  <c r="J57" i="2"/>
  <c r="I57" i="2"/>
  <c r="J52" i="2"/>
  <c r="I52" i="2"/>
  <c r="I7" i="2"/>
  <c r="J7" i="2"/>
  <c r="J68" i="2"/>
  <c r="I68" i="2"/>
  <c r="J5" i="2"/>
  <c r="I5" i="2"/>
  <c r="J73" i="2"/>
  <c r="I73" i="2"/>
  <c r="H8" i="2"/>
  <c r="H57" i="2"/>
  <c r="H7" i="2"/>
  <c r="H68" i="2"/>
  <c r="H52" i="2"/>
  <c r="H5" i="2"/>
  <c r="H69" i="2"/>
  <c r="H46" i="2"/>
  <c r="H30" i="2"/>
  <c r="H81" i="2"/>
  <c r="H75" i="2"/>
  <c r="H74" i="2"/>
  <c r="H48" i="2"/>
  <c r="H38" i="2"/>
  <c r="H43" i="2"/>
  <c r="H56" i="2"/>
  <c r="H49" i="2"/>
  <c r="H45" i="2"/>
  <c r="H41" i="2"/>
  <c r="H53" i="2"/>
  <c r="H73" i="2"/>
  <c r="H72" i="2"/>
  <c r="H71" i="2"/>
  <c r="H77" i="2"/>
  <c r="H54" i="2"/>
  <c r="H78" i="2"/>
  <c r="H59" i="2"/>
  <c r="H67" i="2"/>
  <c r="H64" i="2"/>
  <c r="H47" i="2"/>
  <c r="H80" i="2"/>
  <c r="H19" i="2"/>
  <c r="H55" i="2"/>
  <c r="H6" i="2"/>
  <c r="V8" i="2"/>
  <c r="V72" i="2"/>
  <c r="V78" i="2"/>
  <c r="V73" i="2"/>
  <c r="V75" i="2"/>
  <c r="V74" i="2"/>
  <c r="V48" i="2"/>
  <c r="V43" i="2"/>
  <c r="V59" i="2"/>
  <c r="V67" i="2"/>
  <c r="V56" i="2"/>
  <c r="V38" i="2"/>
  <c r="V53" i="2"/>
  <c r="V41" i="2"/>
  <c r="V77" i="2"/>
  <c r="V54" i="2"/>
  <c r="V6" i="2"/>
  <c r="V19" i="2"/>
  <c r="V49" i="2"/>
  <c r="V45" i="2"/>
  <c r="V71" i="2"/>
  <c r="V80" i="2"/>
  <c r="V57" i="2"/>
  <c r="V52" i="2"/>
  <c r="V7" i="2"/>
  <c r="V64" i="2"/>
  <c r="V47" i="2"/>
  <c r="V68" i="2"/>
  <c r="V5" i="2"/>
  <c r="V69" i="2"/>
  <c r="V55" i="2"/>
  <c r="V46" i="2"/>
  <c r="V30" i="2"/>
  <c r="V81" i="2"/>
  <c r="T72" i="2"/>
  <c r="T8" i="2"/>
  <c r="T78" i="2"/>
  <c r="T68" i="2"/>
  <c r="T73" i="2"/>
  <c r="T41" i="2"/>
  <c r="T53" i="2"/>
  <c r="T49" i="2"/>
  <c r="T45" i="2"/>
  <c r="T77" i="2"/>
  <c r="T55" i="2"/>
  <c r="T48" i="2"/>
  <c r="T38" i="2"/>
  <c r="T43" i="2"/>
  <c r="T75" i="2"/>
  <c r="T74" i="2"/>
  <c r="T59" i="2"/>
  <c r="S67" i="2"/>
  <c r="T67" i="2"/>
  <c r="T56" i="2"/>
  <c r="T54" i="2"/>
  <c r="T19" i="2"/>
  <c r="T71" i="2"/>
  <c r="T6" i="2"/>
  <c r="T5" i="2"/>
  <c r="T52" i="2"/>
  <c r="T46" i="2"/>
  <c r="T30" i="2"/>
  <c r="T81" i="2"/>
  <c r="T64" i="2"/>
  <c r="T47" i="2"/>
  <c r="T80" i="2"/>
  <c r="T57" i="2"/>
  <c r="T7" i="2"/>
  <c r="T69" i="2"/>
  <c r="S49" i="2"/>
  <c r="S45" i="2"/>
  <c r="S41" i="2"/>
  <c r="S53" i="2"/>
  <c r="S52" i="2"/>
  <c r="S7" i="2"/>
  <c r="S68" i="2"/>
  <c r="S55" i="2"/>
  <c r="S80" i="2"/>
  <c r="S57" i="2"/>
  <c r="S69" i="2"/>
  <c r="S46" i="2"/>
  <c r="S30" i="2"/>
  <c r="S81" i="2"/>
  <c r="S75" i="2"/>
  <c r="S48" i="2"/>
  <c r="S38" i="2"/>
  <c r="S43" i="2"/>
  <c r="Q72" i="2"/>
  <c r="S72" i="2"/>
  <c r="S64" i="2"/>
  <c r="S47" i="2"/>
  <c r="S59" i="2"/>
  <c r="S56" i="2"/>
  <c r="S71" i="2"/>
  <c r="S6" i="2"/>
  <c r="S77" i="2"/>
  <c r="S8" i="2"/>
  <c r="S54" i="2"/>
  <c r="Q78" i="2"/>
  <c r="S78" i="2"/>
  <c r="S19" i="2"/>
  <c r="S5" i="2"/>
  <c r="Q73" i="2"/>
  <c r="S73" i="2"/>
  <c r="S74" i="2"/>
  <c r="Q8" i="2"/>
  <c r="Q56" i="2"/>
  <c r="Q75" i="2"/>
  <c r="Q74" i="2"/>
  <c r="Q48" i="2"/>
  <c r="Q53" i="2"/>
  <c r="Q19" i="2"/>
  <c r="Q41" i="2"/>
  <c r="Q57" i="2"/>
  <c r="Q52" i="2"/>
  <c r="Q7" i="2"/>
  <c r="Q49" i="2"/>
  <c r="Q45" i="2"/>
  <c r="Q64" i="2"/>
  <c r="Q47" i="2"/>
  <c r="Q80" i="2"/>
  <c r="Q68" i="2"/>
  <c r="Q69" i="2"/>
  <c r="Q55" i="2"/>
  <c r="Q46" i="2"/>
  <c r="Q30" i="2"/>
  <c r="Q81" i="2"/>
  <c r="Q38" i="2"/>
  <c r="Q43" i="2"/>
  <c r="Q59" i="2"/>
  <c r="Q67" i="2"/>
  <c r="Q71" i="2"/>
  <c r="Q77" i="2"/>
  <c r="Q54" i="2"/>
  <c r="Q5" i="2"/>
  <c r="Q6" i="2"/>
  <c r="R6" i="2"/>
  <c r="Z80" i="2"/>
  <c r="Y80" i="2"/>
  <c r="X80" i="2"/>
  <c r="W80" i="2"/>
  <c r="R80" i="2"/>
  <c r="Z72" i="2"/>
  <c r="Y72" i="2"/>
  <c r="X72" i="2"/>
  <c r="W72" i="2"/>
  <c r="R72" i="2"/>
  <c r="R71" i="2"/>
  <c r="Z71" i="2"/>
  <c r="Y71" i="2"/>
  <c r="X71" i="2"/>
  <c r="W71" i="2"/>
  <c r="Y52" i="2"/>
  <c r="X52" i="2"/>
  <c r="W52" i="2"/>
  <c r="R52" i="2"/>
  <c r="Z52" i="2"/>
  <c r="X55" i="2"/>
  <c r="W55" i="2"/>
  <c r="R55" i="2"/>
  <c r="Z55" i="2"/>
  <c r="Y55" i="2"/>
  <c r="Z46" i="2"/>
  <c r="Y46" i="2"/>
  <c r="X46" i="2"/>
  <c r="W46" i="2"/>
  <c r="R46" i="2"/>
  <c r="X38" i="2"/>
  <c r="W38" i="2"/>
  <c r="R38" i="2"/>
  <c r="Z38" i="2"/>
  <c r="Y38" i="2"/>
  <c r="R43" i="2"/>
  <c r="Z43" i="2"/>
  <c r="Y43" i="2"/>
  <c r="X43" i="2"/>
  <c r="W43" i="2"/>
  <c r="Y59" i="2"/>
  <c r="X59" i="2"/>
  <c r="W59" i="2"/>
  <c r="R59" i="2"/>
  <c r="Z59" i="2"/>
  <c r="Y67" i="2"/>
  <c r="X67" i="2"/>
  <c r="W67" i="2"/>
  <c r="R67" i="2"/>
  <c r="Z67" i="2"/>
  <c r="R56" i="2"/>
  <c r="Z56" i="2"/>
  <c r="Y56" i="2"/>
  <c r="X56" i="2"/>
  <c r="W56" i="2"/>
  <c r="R45" i="2"/>
  <c r="Z45" i="2"/>
  <c r="Y45" i="2"/>
  <c r="X45" i="2"/>
  <c r="W45" i="2"/>
  <c r="Z41" i="2"/>
  <c r="Y41" i="2"/>
  <c r="X41" i="2"/>
  <c r="W41" i="2"/>
  <c r="R41" i="2"/>
  <c r="R53" i="2"/>
  <c r="Z53" i="2"/>
  <c r="Y53" i="2"/>
  <c r="X53" i="2"/>
  <c r="W53" i="2"/>
  <c r="Y6" i="2"/>
  <c r="X6" i="2"/>
  <c r="W6" i="2"/>
  <c r="Z6" i="2"/>
  <c r="Z77" i="2"/>
  <c r="Y77" i="2"/>
  <c r="X77" i="2"/>
  <c r="W77" i="2"/>
  <c r="R77" i="2"/>
  <c r="Z8" i="2"/>
  <c r="Y8" i="2"/>
  <c r="X8" i="2"/>
  <c r="W8" i="2"/>
  <c r="R8" i="2"/>
  <c r="Z54" i="2"/>
  <c r="Y54" i="2"/>
  <c r="X54" i="2"/>
  <c r="W54" i="2"/>
  <c r="R54" i="2"/>
  <c r="R78" i="2"/>
  <c r="Z78" i="2"/>
  <c r="Y78" i="2"/>
  <c r="X78" i="2"/>
  <c r="W78" i="2"/>
  <c r="Z49" i="2"/>
  <c r="Y49" i="2"/>
  <c r="X49" i="2"/>
  <c r="W49" i="2"/>
  <c r="R49" i="2"/>
  <c r="X47" i="2"/>
  <c r="W47" i="2"/>
  <c r="R47" i="2"/>
  <c r="Z47" i="2"/>
  <c r="Y47" i="2"/>
  <c r="W19" i="2"/>
  <c r="R19" i="2"/>
  <c r="Z19" i="2"/>
  <c r="Y19" i="2"/>
  <c r="X19" i="2"/>
  <c r="Z64" i="2"/>
  <c r="Y64" i="2"/>
  <c r="X64" i="2"/>
  <c r="W64" i="2"/>
  <c r="R64" i="2"/>
  <c r="Z57" i="2"/>
  <c r="Y57" i="2"/>
  <c r="X57" i="2"/>
  <c r="W57" i="2"/>
  <c r="R57" i="2"/>
  <c r="Z73" i="2"/>
  <c r="Y73" i="2"/>
  <c r="X73" i="2"/>
  <c r="W73" i="2"/>
  <c r="R73" i="2"/>
  <c r="X7" i="2"/>
  <c r="Z7" i="2"/>
  <c r="R7" i="2"/>
  <c r="Y7" i="2"/>
  <c r="W7" i="2"/>
  <c r="X69" i="2"/>
  <c r="W69" i="2"/>
  <c r="R69" i="2"/>
  <c r="Z69" i="2"/>
  <c r="Y69" i="2"/>
  <c r="R81" i="2"/>
  <c r="X30" i="2"/>
  <c r="W30" i="2"/>
  <c r="Z81" i="2"/>
  <c r="Y81" i="2"/>
  <c r="X81" i="2"/>
  <c r="R30" i="2"/>
  <c r="W81" i="2"/>
  <c r="Z30" i="2"/>
  <c r="Y30" i="2"/>
  <c r="Z68" i="2"/>
  <c r="Y68" i="2"/>
  <c r="X68" i="2"/>
  <c r="W68" i="2"/>
  <c r="R68" i="2"/>
  <c r="Y75" i="2"/>
  <c r="X75" i="2"/>
  <c r="W75" i="2"/>
  <c r="R75" i="2"/>
  <c r="Z75" i="2"/>
  <c r="R48" i="2"/>
  <c r="Z48" i="2"/>
  <c r="Y48" i="2"/>
  <c r="X48" i="2"/>
  <c r="W48" i="2"/>
  <c r="R5" i="2"/>
  <c r="Y5" i="2"/>
  <c r="X5" i="2"/>
  <c r="W5" i="2"/>
  <c r="Z5" i="2"/>
  <c r="R74" i="2"/>
  <c r="Z74" i="2"/>
  <c r="Y74" i="2"/>
  <c r="X74" i="2"/>
  <c r="W74" i="2"/>
  <c r="U2" i="8" l="1"/>
  <c r="O2" i="8"/>
  <c r="T2" i="8"/>
  <c r="T4" i="8" s="1"/>
  <c r="R2" i="8"/>
  <c r="V2" i="8"/>
  <c r="P2" i="8"/>
  <c r="W2" i="8"/>
  <c r="Q2" i="8"/>
  <c r="S2" i="8"/>
  <c r="S4" i="8" s="1"/>
  <c r="N2" i="8"/>
  <c r="K2" i="8"/>
  <c r="K4" i="8" s="1"/>
  <c r="I2" i="8"/>
  <c r="J2" i="8"/>
  <c r="J4" i="8" s="1"/>
  <c r="K2" i="6"/>
  <c r="J2" i="6"/>
  <c r="J3" i="6"/>
  <c r="L3" i="6" s="1"/>
  <c r="K3" i="6"/>
  <c r="J6" i="6"/>
  <c r="L6" i="6" s="1"/>
  <c r="K7" i="6"/>
  <c r="K6" i="6"/>
  <c r="K4" i="6"/>
  <c r="K5" i="6"/>
  <c r="J4" i="6"/>
  <c r="L4" i="6" s="1"/>
  <c r="J7" i="6"/>
  <c r="L7" i="6" s="1"/>
  <c r="J5" i="6"/>
  <c r="L5" i="6" s="1"/>
  <c r="R5" i="8" l="1"/>
  <c r="R4" i="8"/>
  <c r="P5" i="8"/>
  <c r="Q5" i="8"/>
  <c r="Q4" i="8"/>
  <c r="P4" i="8"/>
  <c r="O4" i="8"/>
  <c r="O5" i="8"/>
  <c r="N5" i="8"/>
  <c r="N4" i="8"/>
  <c r="E2" i="8"/>
  <c r="E4" i="8" s="1"/>
  <c r="K8" i="6"/>
  <c r="L2" i="6"/>
  <c r="J8" i="6"/>
  <c r="L8" i="6" s="1"/>
  <c r="F2" i="8"/>
  <c r="H2" i="8"/>
  <c r="G2" i="8"/>
  <c r="I4" i="8"/>
  <c r="G5" i="8" l="1"/>
  <c r="H4" i="8"/>
  <c r="H5" i="8"/>
  <c r="G4" i="8"/>
  <c r="F4" i="8"/>
  <c r="F5" i="8"/>
  <c r="I5" i="8"/>
  <c r="E5" i="8"/>
</calcChain>
</file>

<file path=xl/sharedStrings.xml><?xml version="1.0" encoding="utf-8"?>
<sst xmlns="http://schemas.openxmlformats.org/spreadsheetml/2006/main" count="955" uniqueCount="439">
  <si>
    <t>Directory</t>
  </si>
  <si>
    <t>Extension</t>
  </si>
  <si>
    <t>CreationTime</t>
  </si>
  <si>
    <t>LastAccessTime</t>
  </si>
  <si>
    <t>Bytes</t>
  </si>
  <si>
    <t>Owner</t>
  </si>
  <si>
    <t>Count</t>
  </si>
  <si>
    <t>Total Bytes</t>
  </si>
  <si>
    <t>Ave Size</t>
  </si>
  <si>
    <t>Total MB</t>
  </si>
  <si>
    <t>Category</t>
  </si>
  <si>
    <t>Audio</t>
  </si>
  <si>
    <t>Application</t>
  </si>
  <si>
    <t>Web</t>
  </si>
  <si>
    <t>Data</t>
  </si>
  <si>
    <t>Content</t>
  </si>
  <si>
    <t>Image</t>
  </si>
  <si>
    <t>Archive</t>
  </si>
  <si>
    <t>Video</t>
  </si>
  <si>
    <t>Apple Audio</t>
  </si>
  <si>
    <t>Microsoft WebForms</t>
  </si>
  <si>
    <t>Config File</t>
  </si>
  <si>
    <t>Cascading Style Sheet</t>
  </si>
  <si>
    <t>Database</t>
  </si>
  <si>
    <t>DB File</t>
  </si>
  <si>
    <t>Graphic Interchange Format</t>
  </si>
  <si>
    <t>HTML</t>
  </si>
  <si>
    <t>Optical Media Image</t>
  </si>
  <si>
    <t>JPEG Image</t>
  </si>
  <si>
    <t>JavaScript</t>
  </si>
  <si>
    <t>SQL Log File</t>
  </si>
  <si>
    <t>Application Log</t>
  </si>
  <si>
    <t>Access Database</t>
  </si>
  <si>
    <t>SQL Data File</t>
  </si>
  <si>
    <t>QuickTime Movie</t>
  </si>
  <si>
    <t>Compressed audio</t>
  </si>
  <si>
    <t>Compressed video</t>
  </si>
  <si>
    <t>Microsoft Project</t>
  </si>
  <si>
    <t xml:space="preserve">Microsoft Word </t>
  </si>
  <si>
    <t>Installation Package</t>
  </si>
  <si>
    <t>Microsoft OneNote</t>
  </si>
  <si>
    <t>Adobe Acrobat</t>
  </si>
  <si>
    <t>Portable Network Graphic</t>
  </si>
  <si>
    <t>Microsoft PowerPoint</t>
  </si>
  <si>
    <t>Plaintext</t>
  </si>
  <si>
    <t xml:space="preserve">Wave Audio </t>
  </si>
  <si>
    <t>Microsoft Excel</t>
  </si>
  <si>
    <t>Extensible Markup Language</t>
  </si>
  <si>
    <t>File archive</t>
  </si>
  <si>
    <t>Description</t>
  </si>
  <si>
    <t>Executable Application</t>
  </si>
  <si>
    <t>Application Library</t>
  </si>
  <si>
    <t>Age</t>
  </si>
  <si>
    <t>Age &gt;= 15</t>
  </si>
  <si>
    <t>Age &gt;= 20</t>
  </si>
  <si>
    <t>Rich Text</t>
  </si>
  <si>
    <t>Message</t>
  </si>
  <si>
    <t>Powershell</t>
  </si>
  <si>
    <t>Perl Script</t>
  </si>
  <si>
    <t>PHP</t>
  </si>
  <si>
    <t>Python</t>
  </si>
  <si>
    <t>C#</t>
  </si>
  <si>
    <t>C++</t>
  </si>
  <si>
    <t>Java</t>
  </si>
  <si>
    <t>Compressed archive</t>
  </si>
  <si>
    <t>Gzip</t>
  </si>
  <si>
    <t>Tar Archive</t>
  </si>
  <si>
    <t>Virtual Machine Disk</t>
  </si>
  <si>
    <t>Virtual Hard Disk</t>
  </si>
  <si>
    <t>Virtual Machine Configuration</t>
  </si>
  <si>
    <t>VirtualBox Disk Image</t>
  </si>
  <si>
    <t>Virtual Machine BIOS</t>
  </si>
  <si>
    <t>Advanced Audio Coding</t>
  </si>
  <si>
    <t>Free Lossless Audio Codec</t>
  </si>
  <si>
    <t>Ogg Vorbis Audio</t>
  </si>
  <si>
    <t xml:space="preserve">Audio </t>
  </si>
  <si>
    <t>AutoCAD</t>
  </si>
  <si>
    <t>XML Paper Specification</t>
  </si>
  <si>
    <t xml:space="preserve">Mind Manager MindMap </t>
  </si>
  <si>
    <t>Outlook Mail Archive</t>
  </si>
  <si>
    <t>MapInfo File</t>
  </si>
  <si>
    <t>MapInfo File (or Tab-delimited)</t>
  </si>
  <si>
    <t>Access 2007 Database</t>
  </si>
  <si>
    <t>SQL Query File</t>
  </si>
  <si>
    <t>Notes Database</t>
  </si>
  <si>
    <t>Geography Markup Language</t>
  </si>
  <si>
    <t>ESRI ArcGIS Project</t>
  </si>
  <si>
    <t>Comma separated values</t>
  </si>
  <si>
    <t>Lotus 123</t>
  </si>
  <si>
    <t>Backup file</t>
  </si>
  <si>
    <t>Temporary File</t>
  </si>
  <si>
    <t>Windows Bitmap</t>
  </si>
  <si>
    <t>TrueType Font File</t>
  </si>
  <si>
    <t>TIFF Image</t>
  </si>
  <si>
    <t>OpenType Font</t>
  </si>
  <si>
    <t>Photoshop File</t>
  </si>
  <si>
    <t>Flash video</t>
  </si>
  <si>
    <t>Audio-Video Interleaved</t>
  </si>
  <si>
    <t>MPEG 4 Video</t>
  </si>
  <si>
    <t>RealMedia</t>
  </si>
  <si>
    <t>Java Server Pages</t>
  </si>
  <si>
    <t>ColdFusion</t>
  </si>
  <si>
    <t>XHTML</t>
  </si>
  <si>
    <t>XML Style Sheet</t>
  </si>
  <si>
    <t>% Coverage</t>
  </si>
  <si>
    <t>Adobe InDesign</t>
  </si>
  <si>
    <t>SPSS Data / Saved Game</t>
  </si>
  <si>
    <t>DVD Video Object File</t>
  </si>
  <si>
    <t>Canon RAW Photo</t>
  </si>
  <si>
    <t>MB 
Age 0</t>
  </si>
  <si>
    <t>MB 
Age 1</t>
  </si>
  <si>
    <t>MB 
Age 2</t>
  </si>
  <si>
    <t>MB Age 3</t>
  </si>
  <si>
    <t>MB
Age&lt;5</t>
  </si>
  <si>
    <t>MB 
Age 4</t>
  </si>
  <si>
    <t>Count
Age 0</t>
  </si>
  <si>
    <t>Count 
Age 1</t>
  </si>
  <si>
    <t>Count
Age 2</t>
  </si>
  <si>
    <t>Count
Age 3</t>
  </si>
  <si>
    <t>Count 
Age&lt;5</t>
  </si>
  <si>
    <t>Count 
Age &gt;= 5</t>
  </si>
  <si>
    <t>Count
Age &gt;= 10</t>
  </si>
  <si>
    <t>Migration Count
Age &lt; 5 yrs</t>
  </si>
  <si>
    <t>Migration MB
Age &lt; 5 yrs</t>
  </si>
  <si>
    <t>Proportion
of Total</t>
  </si>
  <si>
    <t>Count
Age 4</t>
  </si>
  <si>
    <t>MB
Age&gt;=5</t>
  </si>
  <si>
    <t>.aspx</t>
  </si>
  <si>
    <t>.config</t>
  </si>
  <si>
    <t>.css</t>
  </si>
  <si>
    <t>.cs</t>
  </si>
  <si>
    <t>.gif</t>
  </si>
  <si>
    <t>.png</t>
  </si>
  <si>
    <t>.db</t>
  </si>
  <si>
    <t>.jpg</t>
  </si>
  <si>
    <t>.js</t>
  </si>
  <si>
    <t>.swf</t>
  </si>
  <si>
    <t>.md</t>
  </si>
  <si>
    <t>.eot</t>
  </si>
  <si>
    <t>.svg</t>
  </si>
  <si>
    <t>.ttf</t>
  </si>
  <si>
    <t>.woff</t>
  </si>
  <si>
    <t>.stm</t>
  </si>
  <si>
    <t>.html</t>
  </si>
  <si>
    <t>.pdf</t>
  </si>
  <si>
    <t>.htm</t>
  </si>
  <si>
    <t>.xls</t>
  </si>
  <si>
    <t>.txt</t>
  </si>
  <si>
    <t>.doc</t>
  </si>
  <si>
    <t>.docx</t>
  </si>
  <si>
    <t>.pptx</t>
  </si>
  <si>
    <t>.lnk</t>
  </si>
  <si>
    <t>.exe</t>
  </si>
  <si>
    <t>.nak</t>
  </si>
  <si>
    <t>.old</t>
  </si>
  <si>
    <t>.fp_folder_info</t>
  </si>
  <si>
    <t>.xml</t>
  </si>
  <si>
    <t>.asax</t>
  </si>
  <si>
    <t>.resx</t>
  </si>
  <si>
    <t>.vb</t>
  </si>
  <si>
    <t>.xsd</t>
  </si>
  <si>
    <t>.cnf</t>
  </si>
  <si>
    <t>.btr</t>
  </si>
  <si>
    <t>.lck</t>
  </si>
  <si>
    <t>.flv</t>
  </si>
  <si>
    <t>.mov</t>
  </si>
  <si>
    <t>.cgi</t>
  </si>
  <si>
    <t>.bak</t>
  </si>
  <si>
    <t>.ini</t>
  </si>
  <si>
    <t>.class</t>
  </si>
  <si>
    <t>.asa</t>
  </si>
  <si>
    <t>.dot</t>
  </si>
  <si>
    <t>.mno</t>
  </si>
  <si>
    <t>.discomap</t>
  </si>
  <si>
    <t>.wsdl</t>
  </si>
  <si>
    <t>.inc</t>
  </si>
  <si>
    <t>.docm</t>
  </si>
  <si>
    <t>.dll</t>
  </si>
  <si>
    <t>.pps</t>
  </si>
  <si>
    <t>.compiled</t>
  </si>
  <si>
    <t>.pdb</t>
  </si>
  <si>
    <t>.dic</t>
  </si>
  <si>
    <t>.ppt</t>
  </si>
  <si>
    <t>.vbs</t>
  </si>
  <si>
    <t>.jpeg</t>
  </si>
  <si>
    <t>.xlsx</t>
  </si>
  <si>
    <t>.dotx</t>
  </si>
  <si>
    <t>.wmv</t>
  </si>
  <si>
    <t>.mpg</t>
  </si>
  <si>
    <t>.mpa</t>
  </si>
  <si>
    <t>.avi</t>
  </si>
  <si>
    <t>.mht</t>
  </si>
  <si>
    <t>.tmp</t>
  </si>
  <si>
    <t>.rtf</t>
  </si>
  <si>
    <t>.bmp</t>
  </si>
  <si>
    <t>.master</t>
  </si>
  <si>
    <t>.dcr</t>
  </si>
  <si>
    <t>.ram</t>
  </si>
  <si>
    <t>.rm</t>
  </si>
  <si>
    <t>.mdb</t>
  </si>
  <si>
    <t>.ol2</t>
  </si>
  <si>
    <t>.tif</t>
  </si>
  <si>
    <t>.pdd</t>
  </si>
  <si>
    <t>.shs</t>
  </si>
  <si>
    <t>.jsf</t>
  </si>
  <si>
    <t>.map</t>
  </si>
  <si>
    <t>.mic</t>
  </si>
  <si>
    <t>.wmf</t>
  </si>
  <si>
    <t>.pptm</t>
  </si>
  <si>
    <t>.ico</t>
  </si>
  <si>
    <t>.History</t>
  </si>
  <si>
    <t>.psd</t>
  </si>
  <si>
    <t>.bin</t>
  </si>
  <si>
    <t>.backup</t>
  </si>
  <si>
    <t>.emz</t>
  </si>
  <si>
    <t>.asp</t>
  </si>
  <si>
    <t>.application</t>
  </si>
  <si>
    <t>.deploy</t>
  </si>
  <si>
    <t>.manifest</t>
  </si>
  <si>
    <t>.thmx</t>
  </si>
  <si>
    <t>.mso</t>
  </si>
  <si>
    <t>.wmz</t>
  </si>
  <si>
    <t>.mp3</t>
  </si>
  <si>
    <t>.wma</t>
  </si>
  <si>
    <t>.mp4</t>
  </si>
  <si>
    <t>.url</t>
  </si>
  <si>
    <t>.xlsm</t>
  </si>
  <si>
    <t>.prp</t>
  </si>
  <si>
    <t>.ci</t>
  </si>
  <si>
    <t>.dir</t>
  </si>
  <si>
    <t>.hsh</t>
  </si>
  <si>
    <t>.bkp</t>
  </si>
  <si>
    <t>.cat</t>
  </si>
  <si>
    <t>.dct</t>
  </si>
  <si>
    <t>.fmt</t>
  </si>
  <si>
    <t>.fn</t>
  </si>
  <si>
    <t>.hl</t>
  </si>
  <si>
    <t>.idx</t>
  </si>
  <si>
    <t>.inv</t>
  </si>
  <si>
    <t>.src</t>
  </si>
  <si>
    <t>.pcz</t>
  </si>
  <si>
    <t>.idq</t>
  </si>
  <si>
    <t>.shtm</t>
  </si>
  <si>
    <t>.vbproj</t>
  </si>
  <si>
    <t>.webinfo</t>
  </si>
  <si>
    <t>.php</t>
  </si>
  <si>
    <t>.sql</t>
  </si>
  <si>
    <t>.mid</t>
  </si>
  <si>
    <t>.htx</t>
  </si>
  <si>
    <t>.csv</t>
  </si>
  <si>
    <t>.inf</t>
  </si>
  <si>
    <t>.utf8</t>
  </si>
  <si>
    <t>.zcfg</t>
  </si>
  <si>
    <t>.bak2</t>
  </si>
  <si>
    <t>.zdat</t>
  </si>
  <si>
    <t>.zip</t>
  </si>
  <si>
    <t>.cpt</t>
  </si>
  <si>
    <t>.WOR</t>
  </si>
  <si>
    <t>.tab</t>
  </si>
  <si>
    <t>.mif</t>
  </si>
  <si>
    <t>.sdc</t>
  </si>
  <si>
    <t>.orig</t>
  </si>
  <si>
    <t>.err</t>
  </si>
  <si>
    <t>.csi</t>
  </si>
  <si>
    <t>.cnt</t>
  </si>
  <si>
    <t>.m1</t>
  </si>
  <si>
    <t>Microsoft Visio</t>
  </si>
  <si>
    <t>Windows Media Video</t>
  </si>
  <si>
    <t>Microsoft Word Template</t>
  </si>
  <si>
    <t>Exchange Streaming Media</t>
  </si>
  <si>
    <t>MIME/HTML Archive</t>
  </si>
  <si>
    <t>Dictionary File</t>
  </si>
  <si>
    <t xml:space="preserve">Total All Files </t>
  </si>
  <si>
    <t xml:space="preserve">Total Identified Files </t>
  </si>
  <si>
    <t>Total</t>
  </si>
  <si>
    <t>.cfg</t>
  </si>
  <si>
    <t>.mmp</t>
  </si>
  <si>
    <t>.xps</t>
  </si>
  <si>
    <t>.xsl</t>
  </si>
  <si>
    <t>.xslt</t>
  </si>
  <si>
    <t>.xhtml</t>
  </si>
  <si>
    <t>.mhtml</t>
  </si>
  <si>
    <t>.cfm</t>
  </si>
  <si>
    <t>.jsp</t>
  </si>
  <si>
    <t>.vmc</t>
  </si>
  <si>
    <t>.dsk</t>
  </si>
  <si>
    <t>.vdi</t>
  </si>
  <si>
    <t>.aac</t>
  </si>
  <si>
    <t>.nvram</t>
  </si>
  <si>
    <t>.aiff</t>
  </si>
  <si>
    <t>.wav</t>
  </si>
  <si>
    <t>.flac</t>
  </si>
  <si>
    <t>.ogg</t>
  </si>
  <si>
    <t>.m4a</t>
  </si>
  <si>
    <t>.au</t>
  </si>
  <si>
    <t>.dwg</t>
  </si>
  <si>
    <t>.mpp</t>
  </si>
  <si>
    <t>.msg</t>
  </si>
  <si>
    <t>.one</t>
  </si>
  <si>
    <t>.cab</t>
  </si>
  <si>
    <t>.gz</t>
  </si>
  <si>
    <t>.rar</t>
  </si>
  <si>
    <t>.tar</t>
  </si>
  <si>
    <t>.vmdk</t>
  </si>
  <si>
    <t>.vhd</t>
  </si>
  <si>
    <t>.log</t>
  </si>
  <si>
    <t>.ps1</t>
  </si>
  <si>
    <t>.msi</t>
  </si>
  <si>
    <t>.pl</t>
  </si>
  <si>
    <t>.py</t>
  </si>
  <si>
    <t>.cpp</t>
  </si>
  <si>
    <t>.java</t>
  </si>
  <si>
    <t>.iso</t>
  </si>
  <si>
    <t>.vsd</t>
  </si>
  <si>
    <t>.pst</t>
  </si>
  <si>
    <t>.dat</t>
  </si>
  <si>
    <t>.id</t>
  </si>
  <si>
    <t>.dbf</t>
  </si>
  <si>
    <t>.ldf</t>
  </si>
  <si>
    <t>.accdb</t>
  </si>
  <si>
    <t>.mdf</t>
  </si>
  <si>
    <t>.nsf</t>
  </si>
  <si>
    <t>.gml</t>
  </si>
  <si>
    <t>.mxd</t>
  </si>
  <si>
    <t>.wk</t>
  </si>
  <si>
    <t>.sav</t>
  </si>
  <si>
    <t>.ind</t>
  </si>
  <si>
    <t>.otf</t>
  </si>
  <si>
    <t>.raw</t>
  </si>
  <si>
    <t>.cr2</t>
  </si>
  <si>
    <t>.mpeg</t>
  </si>
  <si>
    <t>.swv</t>
  </si>
  <si>
    <t>.vob</t>
  </si>
  <si>
    <t>Annual Growth</t>
  </si>
  <si>
    <t>Proportion</t>
  </si>
  <si>
    <t>Total 
Count</t>
  </si>
  <si>
    <t>Unknown</t>
  </si>
  <si>
    <t>.mhtm</t>
  </si>
  <si>
    <t>.tiff</t>
  </si>
  <si>
    <t>.mppx</t>
  </si>
  <si>
    <t>Real Audio</t>
  </si>
  <si>
    <t>.ra</t>
  </si>
  <si>
    <t>Java Class</t>
  </si>
  <si>
    <t>Corel Photo Paint</t>
  </si>
  <si>
    <t>RAW Image</t>
  </si>
  <si>
    <t>RAR Archive</t>
  </si>
  <si>
    <t>Microsoft CABinet</t>
  </si>
  <si>
    <t xml:space="preserve">Web Open Font File </t>
  </si>
  <si>
    <t>.res</t>
  </si>
  <si>
    <t>.NET Resource File</t>
  </si>
  <si>
    <t>Scalable Vector Graphics</t>
  </si>
  <si>
    <t>.divx</t>
  </si>
  <si>
    <t>DivX Encoded Video</t>
  </si>
  <si>
    <t>Windows Shortcut</t>
  </si>
  <si>
    <t>Markdown Text</t>
  </si>
  <si>
    <t>.markdown</t>
  </si>
  <si>
    <t>Btrieve Data File</t>
  </si>
  <si>
    <t>Access Lock File</t>
  </si>
  <si>
    <t>Perl or C Script</t>
  </si>
  <si>
    <t>Macromedia Design Note</t>
  </si>
  <si>
    <t>.disco</t>
  </si>
  <si>
    <t xml:space="preserve">Web Service Discovery </t>
  </si>
  <si>
    <t>Web Service Discovery Output</t>
  </si>
  <si>
    <t>Program Database (Quicken, VS, PalmPilot)</t>
  </si>
  <si>
    <t>.NET Master Page</t>
  </si>
  <si>
    <t>Kodak Raw Image</t>
  </si>
  <si>
    <t>Embedded OpenType Font</t>
  </si>
  <si>
    <t>.htaccess</t>
  </si>
  <si>
    <t>Access Control File</t>
  </si>
  <si>
    <t>.robots</t>
  </si>
  <si>
    <t>Web Crawler Hinting</t>
  </si>
  <si>
    <t>Icon</t>
  </si>
  <si>
    <t>MIDI</t>
  </si>
  <si>
    <t>Theme</t>
  </si>
  <si>
    <t xml:space="preserve">Visual Basic </t>
  </si>
  <si>
    <t>Visual Basic  Project</t>
  </si>
  <si>
    <t>Visual Basic Script</t>
  </si>
  <si>
    <t>Windows Media Audio</t>
  </si>
  <si>
    <t>XML Schema</t>
  </si>
  <si>
    <t xml:space="preserve">ASP.NET </t>
  </si>
  <si>
    <t>Adobe Director or Directory Info</t>
  </si>
  <si>
    <t>NCH Dictation Audio</t>
  </si>
  <si>
    <t xml:space="preserve">Blackberry Code Signing </t>
  </si>
  <si>
    <t>Windows Compressed Metafile</t>
  </si>
  <si>
    <t>Error log (Symantec, MySQL, etc.)</t>
  </si>
  <si>
    <t>Microsoft FoxPro Format File</t>
  </si>
  <si>
    <t>.idc</t>
  </si>
  <si>
    <t>Internet Database Connector</t>
  </si>
  <si>
    <t>HTML Extension (used with IDC)</t>
  </si>
  <si>
    <t>.key</t>
  </si>
  <si>
    <t>Public Key / Lotus Keynote Presentation</t>
  </si>
  <si>
    <t>JavsScript Command</t>
  </si>
  <si>
    <t>Visual Studio Packaging Manifest</t>
  </si>
  <si>
    <t>Microsoft Image Composer</t>
  </si>
  <si>
    <t>MapInfo Interchange Format / Memory Initialization</t>
  </si>
  <si>
    <t>Compressed Macintosh Image</t>
  </si>
  <si>
    <t xml:space="preserve">Adobe PhotoDeluxe </t>
  </si>
  <si>
    <t>Microsoft Office</t>
  </si>
  <si>
    <t>MPEG 2 Audio</t>
  </si>
  <si>
    <t>IBM Property Files</t>
  </si>
  <si>
    <t>Internet Data Query</t>
  </si>
  <si>
    <t>DVD Subtitle File / Visual Studio Index File Structure</t>
  </si>
  <si>
    <t>PHP Include File</t>
  </si>
  <si>
    <t>File or Folder Info</t>
  </si>
  <si>
    <t>Various applications</t>
  </si>
  <si>
    <t>Epson Printer Data</t>
  </si>
  <si>
    <t>SHTML</t>
  </si>
  <si>
    <t>MapInfo WorkSpace / ESRI GIS</t>
  </si>
  <si>
    <t>Windows Media Skin (Zipped WMF in XML)</t>
  </si>
  <si>
    <t>Windows Metafile Image</t>
  </si>
  <si>
    <t>Visual Studio File</t>
  </si>
  <si>
    <t xml:space="preserve">Windows Index Service Catalog Indexer </t>
  </si>
  <si>
    <t>Windows Shell Scrap Files (Word, Excel)</t>
  </si>
  <si>
    <t>Apache OpenOffice Calc Spreadsheet</t>
  </si>
  <si>
    <t>Batch File</t>
  </si>
  <si>
    <t>.bat</t>
  </si>
  <si>
    <t>Source Resource String File</t>
  </si>
  <si>
    <t>.h</t>
  </si>
  <si>
    <t>C Header File</t>
  </si>
  <si>
    <t>.odf</t>
  </si>
  <si>
    <t>OpenOffice Document Format</t>
  </si>
  <si>
    <t>HeuristicLab Data</t>
  </si>
  <si>
    <t>Microsoft Deployment Manifest</t>
  </si>
  <si>
    <t>Catalog File</t>
  </si>
  <si>
    <t>MySQL Configuration</t>
  </si>
  <si>
    <t xml:space="preserve">System File </t>
  </si>
  <si>
    <t xml:space="preserve">Windows Help Contents File </t>
  </si>
  <si>
    <t>Overlay (WordStar, dBase)</t>
  </si>
  <si>
    <t>.ovl</t>
  </si>
  <si>
    <t>Rescue Me OS2/DOS File</t>
  </si>
  <si>
    <t>.pqg</t>
  </si>
  <si>
    <t>Template File (Many possible vendors)</t>
  </si>
  <si>
    <t>.tpl</t>
  </si>
  <si>
    <t>Word Backup File</t>
  </si>
  <si>
    <t>.wbk</t>
  </si>
  <si>
    <t>WordPerfect Macro</t>
  </si>
  <si>
    <t>.wcm</t>
  </si>
  <si>
    <t>WordPerfect Document</t>
  </si>
  <si>
    <t>.wpd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</si>
</sst>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165" fontId="0" fillId="0" borderId="0" xfId="1" applyNumberFormat="1" applyFont="1"/>
    <xf numFmtId="0" fontId="16" fillId="0" borderId="0" xfId="0" applyFont="1"/>
    <xf numFmtId="165" fontId="16" fillId="0" borderId="0" xfId="1" applyNumberFormat="1" applyFont="1"/>
    <xf numFmtId="166" fontId="16" fillId="0" borderId="0" xfId="0" applyNumberFormat="1" applyFont="1"/>
    <xf numFmtId="166" fontId="0" fillId="0" borderId="0" xfId="0" applyNumberFormat="1"/>
    <xf numFmtId="1" fontId="16" fillId="0" borderId="0" xfId="0" applyNumberFormat="1" applyFont="1"/>
    <xf numFmtId="1" fontId="0" fillId="0" borderId="0" xfId="1" applyNumberFormat="1" applyFont="1"/>
    <xf numFmtId="1" fontId="0" fillId="0" borderId="0" xfId="0" applyNumberFormat="1"/>
    <xf numFmtId="22" fontId="0" fillId="0" borderId="0" xfId="0" applyNumberFormat="1"/>
    <xf numFmtId="9" fontId="16" fillId="0" borderId="0" xfId="43" applyFont="1"/>
    <xf numFmtId="9" fontId="0" fillId="0" borderId="0" xfId="43" applyFont="1"/>
    <xf numFmtId="0" fontId="16" fillId="0" borderId="0" xfId="0" applyFont="1" applyAlignment="1">
      <alignment horizontal="center"/>
    </xf>
    <xf numFmtId="165" fontId="16" fillId="0" borderId="0" xfId="1" applyNumberFormat="1" applyFont="1" applyAlignment="1">
      <alignment horizontal="center"/>
    </xf>
    <xf numFmtId="164" fontId="16" fillId="0" borderId="0" xfId="1" applyFont="1" applyAlignment="1">
      <alignment horizontal="center"/>
    </xf>
    <xf numFmtId="165" fontId="16" fillId="0" borderId="0" xfId="1" applyNumberFormat="1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9" fontId="16" fillId="0" borderId="0" xfId="43" applyFont="1" applyAlignment="1">
      <alignment horizontal="center" wrapText="1"/>
    </xf>
    <xf numFmtId="9" fontId="16" fillId="33" borderId="0" xfId="43" applyFont="1" applyFill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numFmt numFmtId="166" formatCode="[$-F800]dddd\,\ mmmm\ dd\,\ yyyy"/>
    </dxf>
    <dxf>
      <numFmt numFmtId="166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Total Content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 Total MB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Analysis!$A$2:$A$9</c:f>
              <c:strCache>
                <c:ptCount val="8"/>
                <c:pt idx="0">
                  <c:v>Application</c:v>
                </c:pt>
                <c:pt idx="1">
                  <c:v>Archive</c:v>
                </c:pt>
                <c:pt idx="2">
                  <c:v>Audio</c:v>
                </c:pt>
                <c:pt idx="3">
                  <c:v>Content</c:v>
                </c:pt>
                <c:pt idx="4">
                  <c:v>Data</c:v>
                </c:pt>
                <c:pt idx="5">
                  <c:v>Image</c:v>
                </c:pt>
                <c:pt idx="6">
                  <c:v>Video</c:v>
                </c:pt>
                <c:pt idx="7">
                  <c:v>Web</c:v>
                </c:pt>
              </c:strCache>
            </c:strRef>
          </c:cat>
          <c:val>
            <c:numRef>
              <c:f>Analysis!$B$2:$B$9</c:f>
              <c:numCache>
                <c:formatCode>_-* #,##0_-;\-* #,##0_-;_-*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5-44B9-92FB-032DEC8B5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3143784"/>
        <c:axId val="543140648"/>
      </c:barChart>
      <c:lineChart>
        <c:grouping val="standard"/>
        <c:varyColors val="0"/>
        <c:ser>
          <c:idx val="1"/>
          <c:order val="1"/>
          <c:tx>
            <c:strRef>
              <c:f>Analysis!$C$1</c:f>
              <c:strCache>
                <c:ptCount val="1"/>
                <c:pt idx="0">
                  <c:v>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Analysis!$A$2:$A$9</c:f>
              <c:strCache>
                <c:ptCount val="8"/>
                <c:pt idx="0">
                  <c:v>Application</c:v>
                </c:pt>
                <c:pt idx="1">
                  <c:v>Archive</c:v>
                </c:pt>
                <c:pt idx="2">
                  <c:v>Audio</c:v>
                </c:pt>
                <c:pt idx="3">
                  <c:v>Content</c:v>
                </c:pt>
                <c:pt idx="4">
                  <c:v>Data</c:v>
                </c:pt>
                <c:pt idx="5">
                  <c:v>Image</c:v>
                </c:pt>
                <c:pt idx="6">
                  <c:v>Video</c:v>
                </c:pt>
                <c:pt idx="7">
                  <c:v>Web</c:v>
                </c:pt>
              </c:strCache>
            </c:strRef>
          </c:cat>
          <c:val>
            <c:numRef>
              <c:f>Analysis!$C$2:$C$9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45-44B9-92FB-032DEC8B5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3144176"/>
        <c:axId val="543139472"/>
      </c:lineChart>
      <c:catAx>
        <c:axId val="543143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140648"/>
        <c:crosses val="autoZero"/>
        <c:auto val="1"/>
        <c:lblAlgn val="ctr"/>
        <c:lblOffset val="100"/>
        <c:noMultiLvlLbl val="0"/>
      </c:catAx>
      <c:valAx>
        <c:axId val="543140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143784"/>
        <c:crosses val="autoZero"/>
        <c:crossBetween val="between"/>
      </c:valAx>
      <c:valAx>
        <c:axId val="54313947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144176"/>
        <c:crosses val="max"/>
        <c:crossBetween val="between"/>
      </c:valAx>
      <c:catAx>
        <c:axId val="543144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43139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Content  &lt;5yrs relevant</a:t>
            </a:r>
            <a:r>
              <a:rPr lang="en-CA" baseline="0"/>
              <a:t> to </a:t>
            </a:r>
            <a:r>
              <a:rPr lang="en-CA"/>
              <a:t>MS</a:t>
            </a:r>
            <a:r>
              <a:rPr lang="en-CA" baseline="0"/>
              <a:t> Cloud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98268833417098"/>
          <c:y val="0.16484444444444446"/>
          <c:w val="0.76086628458924077"/>
          <c:h val="0.582051093613298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Analysis!$J$1</c:f>
              <c:strCache>
                <c:ptCount val="1"/>
                <c:pt idx="0">
                  <c:v> Migration MB
Age &lt; 5 yrs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Analysis!$I$2:$I$7</c:f>
              <c:strCache>
                <c:ptCount val="6"/>
                <c:pt idx="0">
                  <c:v>Archive</c:v>
                </c:pt>
                <c:pt idx="1">
                  <c:v>Audio</c:v>
                </c:pt>
                <c:pt idx="2">
                  <c:v>Content</c:v>
                </c:pt>
                <c:pt idx="3">
                  <c:v>Image</c:v>
                </c:pt>
                <c:pt idx="4">
                  <c:v>Video</c:v>
                </c:pt>
                <c:pt idx="5">
                  <c:v>Web</c:v>
                </c:pt>
              </c:strCache>
            </c:strRef>
          </c:cat>
          <c:val>
            <c:numRef>
              <c:f>Analysis!$J$2:$J$7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D-4FBD-B1B1-C0440607E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3144568"/>
        <c:axId val="543141040"/>
      </c:barChart>
      <c:lineChart>
        <c:grouping val="standard"/>
        <c:varyColors val="0"/>
        <c:ser>
          <c:idx val="1"/>
          <c:order val="1"/>
          <c:tx>
            <c:strRef>
              <c:f>Analysis!$K$1</c:f>
              <c:strCache>
                <c:ptCount val="1"/>
                <c:pt idx="0">
                  <c:v>Migration Count
Age &lt; 5 yrs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Analysis!$I$2:$I$7</c:f>
              <c:strCache>
                <c:ptCount val="6"/>
                <c:pt idx="0">
                  <c:v>Archive</c:v>
                </c:pt>
                <c:pt idx="1">
                  <c:v>Audio</c:v>
                </c:pt>
                <c:pt idx="2">
                  <c:v>Content</c:v>
                </c:pt>
                <c:pt idx="3">
                  <c:v>Image</c:v>
                </c:pt>
                <c:pt idx="4">
                  <c:v>Video</c:v>
                </c:pt>
                <c:pt idx="5">
                  <c:v>Web</c:v>
                </c:pt>
              </c:strCache>
            </c:strRef>
          </c:cat>
          <c:val>
            <c:numRef>
              <c:f>Analysis!$K$2:$K$7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DD-4FBD-B1B1-C0440607E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3146920"/>
        <c:axId val="543146528"/>
      </c:lineChart>
      <c:catAx>
        <c:axId val="543144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141040"/>
        <c:crosses val="autoZero"/>
        <c:auto val="1"/>
        <c:lblAlgn val="ctr"/>
        <c:lblOffset val="100"/>
        <c:noMultiLvlLbl val="0"/>
      </c:catAx>
      <c:valAx>
        <c:axId val="54314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144568"/>
        <c:crosses val="autoZero"/>
        <c:crossBetween val="between"/>
      </c:valAx>
      <c:valAx>
        <c:axId val="54314652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146920"/>
        <c:crosses val="max"/>
        <c:crossBetween val="between"/>
      </c:valAx>
      <c:catAx>
        <c:axId val="5431469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431465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6</xdr:col>
      <xdr:colOff>213360</xdr:colOff>
      <xdr:row>26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</xdr:colOff>
      <xdr:row>11</xdr:row>
      <xdr:rowOff>0</xdr:rowOff>
    </xdr:from>
    <xdr:to>
      <xdr:col>13</xdr:col>
      <xdr:colOff>419100</xdr:colOff>
      <xdr:row>26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</xdr:row>
      <xdr:rowOff>114300</xdr:rowOff>
    </xdr:from>
    <xdr:to>
      <xdr:col>8</xdr:col>
      <xdr:colOff>0</xdr:colOff>
      <xdr:row>2</xdr:row>
      <xdr:rowOff>106680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 flipV="1">
          <a:off x="2011680" y="480060"/>
          <a:ext cx="3048000" cy="1752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</xdr:colOff>
      <xdr:row>2</xdr:row>
      <xdr:rowOff>91440</xdr:rowOff>
    </xdr:from>
    <xdr:to>
      <xdr:col>8</xdr:col>
      <xdr:colOff>22860</xdr:colOff>
      <xdr:row>3</xdr:row>
      <xdr:rowOff>106680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 flipV="1">
          <a:off x="2019300" y="640080"/>
          <a:ext cx="3063240" cy="1981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</xdr:row>
      <xdr:rowOff>106680</xdr:rowOff>
    </xdr:from>
    <xdr:to>
      <xdr:col>7</xdr:col>
      <xdr:colOff>601980</xdr:colOff>
      <xdr:row>4</xdr:row>
      <xdr:rowOff>99060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 flipV="1">
          <a:off x="2011680" y="838200"/>
          <a:ext cx="3040380" cy="1752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</xdr:colOff>
      <xdr:row>4</xdr:row>
      <xdr:rowOff>106680</xdr:rowOff>
    </xdr:from>
    <xdr:to>
      <xdr:col>8</xdr:col>
      <xdr:colOff>15240</xdr:colOff>
      <xdr:row>6</xdr:row>
      <xdr:rowOff>99060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CxnSpPr/>
      </xdr:nvCxnSpPr>
      <xdr:spPr>
        <a:xfrm flipV="1">
          <a:off x="2019300" y="1021080"/>
          <a:ext cx="3055620" cy="358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</xdr:row>
      <xdr:rowOff>99060</xdr:rowOff>
    </xdr:from>
    <xdr:to>
      <xdr:col>8</xdr:col>
      <xdr:colOff>7620</xdr:colOff>
      <xdr:row>7</xdr:row>
      <xdr:rowOff>114300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CxnSpPr/>
      </xdr:nvCxnSpPr>
      <xdr:spPr>
        <a:xfrm flipV="1">
          <a:off x="2011680" y="1196340"/>
          <a:ext cx="305562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</xdr:row>
      <xdr:rowOff>99060</xdr:rowOff>
    </xdr:from>
    <xdr:to>
      <xdr:col>8</xdr:col>
      <xdr:colOff>0</xdr:colOff>
      <xdr:row>8</xdr:row>
      <xdr:rowOff>114300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CxnSpPr/>
      </xdr:nvCxnSpPr>
      <xdr:spPr>
        <a:xfrm flipV="1">
          <a:off x="2011680" y="1379220"/>
          <a:ext cx="304800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78638F-4F33-4E8E-98B4-E18CA0A924AB}" name="Table2" displayName="Table2" ref="A1:G2" totalsRowShown="0">
  <autoFilter ref="A1:G2" xr:uid="{AF78638F-4F33-4E8E-98B4-E18CA0A924AB}"/>
  <tableColumns count="7">
    <tableColumn id="1" xr3:uid="{A6C2C2BB-F435-4D41-B7C2-53E697D40E7D}" name="Directory"/>
    <tableColumn id="2" xr3:uid="{3387058A-836C-47F6-A68C-8B5A8984A1A0}" name="Extension"/>
    <tableColumn id="3" xr3:uid="{8B66603E-CD27-412B-8100-09C590CFE32C}" name="CreationTime" dataDxfId="2"/>
    <tableColumn id="4" xr3:uid="{F3EAE400-B194-4E03-A9A5-C520C06A1B5B}" name="LastAccessTime" dataDxfId="1"/>
    <tableColumn id="5" xr3:uid="{0530F467-7243-4583-A1BF-C157F97BEFE9}" name="Bytes"/>
    <tableColumn id="6" xr3:uid="{E311F6C3-DE2E-487B-8339-E6E836B144A7}" name="Owner"/>
    <tableColumn id="7" xr3:uid="{9D76F1BC-7F14-40FF-BF73-3BEAF36E94A9}" name="Age" dataDxfId="0" dataCellStyle="Comma">
      <calculatedColumnFormula>IF(C2&gt;0,YEAR(NOW())-YEAR(C2),0)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B2" sqref="B2"/>
    </sheetView>
  </sheetViews>
  <sheetFormatPr defaultRowHeight="15" x14ac:dyDescent="0.25"/>
  <cols>
    <col min="1" max="1" width="19.5703125" bestFit="1" customWidth="1"/>
    <col min="2" max="2" width="11.85546875" customWidth="1"/>
    <col min="3" max="3" width="21.7109375" style="5" bestFit="1" customWidth="1"/>
    <col min="4" max="4" width="17.28515625" style="5" bestFit="1" customWidth="1"/>
    <col min="5" max="5" width="11" bestFit="1" customWidth="1"/>
    <col min="6" max="6" width="20.7109375" bestFit="1" customWidth="1"/>
    <col min="7" max="7" width="10.28515625" style="8" bestFit="1" customWidth="1"/>
  </cols>
  <sheetData>
    <row r="1" spans="1:12" s="2" customFormat="1" x14ac:dyDescent="0.25">
      <c r="A1" s="2" t="s">
        <v>0</v>
      </c>
      <c r="B1" s="2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6" t="s">
        <v>52</v>
      </c>
    </row>
    <row r="2" spans="1:12" x14ac:dyDescent="0.25">
      <c r="G2" s="7">
        <f t="shared" ref="G2" ca="1" si="0">IF(C2&gt;0,YEAR(NOW())-YEAR(C2),0)</f>
        <v>0</v>
      </c>
      <c r="K2" s="9"/>
      <c r="L2" s="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19"/>
  <sheetViews>
    <sheetView workbookViewId="0">
      <pane ySplit="1" topLeftCell="A2" activePane="bottomLeft" state="frozen"/>
      <selection pane="bottomLeft" activeCell="A18" sqref="A18"/>
    </sheetView>
  </sheetViews>
  <sheetFormatPr defaultRowHeight="15" x14ac:dyDescent="0.25"/>
  <cols>
    <col min="1" max="1" width="13.42578125" bestFit="1" customWidth="1"/>
    <col min="2" max="2" width="48.28515625" bestFit="1" customWidth="1"/>
    <col min="3" max="3" width="14.5703125" bestFit="1" customWidth="1"/>
    <col min="4" max="4" width="16.7109375" style="1" bestFit="1" customWidth="1"/>
    <col min="5" max="5" width="14.42578125" style="1" bestFit="1" customWidth="1"/>
    <col min="6" max="6" width="14.85546875" style="1" bestFit="1" customWidth="1"/>
    <col min="7" max="7" width="3.140625" style="1" customWidth="1"/>
    <col min="8" max="12" width="10.42578125" style="1" bestFit="1" customWidth="1"/>
    <col min="13" max="13" width="11" style="1" bestFit="1" customWidth="1"/>
    <col min="14" max="14" width="12" style="1" bestFit="1" customWidth="1"/>
    <col min="15" max="15" width="2.5703125" style="1" customWidth="1"/>
    <col min="16" max="16" width="10.85546875" bestFit="1" customWidth="1"/>
    <col min="17" max="17" width="11.28515625" style="1" bestFit="1" customWidth="1"/>
    <col min="18" max="21" width="10.85546875" bestFit="1" customWidth="1"/>
    <col min="22" max="22" width="11" bestFit="1" customWidth="1"/>
    <col min="23" max="24" width="11.42578125" bestFit="1" customWidth="1"/>
    <col min="25" max="26" width="13.85546875" bestFit="1" customWidth="1"/>
  </cols>
  <sheetData>
    <row r="1" spans="1:26" s="12" customFormat="1" ht="45" x14ac:dyDescent="0.25">
      <c r="A1" s="12" t="s">
        <v>10</v>
      </c>
      <c r="B1" s="12" t="s">
        <v>49</v>
      </c>
      <c r="C1" s="2" t="s">
        <v>1</v>
      </c>
      <c r="D1" s="13" t="s">
        <v>7</v>
      </c>
      <c r="E1" s="13" t="s">
        <v>8</v>
      </c>
      <c r="F1" s="13" t="s">
        <v>9</v>
      </c>
      <c r="G1" s="13"/>
      <c r="H1" s="15" t="s">
        <v>109</v>
      </c>
      <c r="I1" s="15" t="s">
        <v>110</v>
      </c>
      <c r="J1" s="15" t="s">
        <v>111</v>
      </c>
      <c r="K1" s="15" t="s">
        <v>112</v>
      </c>
      <c r="L1" s="15" t="s">
        <v>114</v>
      </c>
      <c r="M1" s="15" t="s">
        <v>113</v>
      </c>
      <c r="N1" s="15" t="s">
        <v>126</v>
      </c>
      <c r="O1" s="15"/>
      <c r="P1" s="12" t="s">
        <v>6</v>
      </c>
      <c r="Q1" s="15" t="s">
        <v>115</v>
      </c>
      <c r="R1" s="16" t="s">
        <v>116</v>
      </c>
      <c r="S1" s="16" t="s">
        <v>117</v>
      </c>
      <c r="T1" s="16" t="s">
        <v>118</v>
      </c>
      <c r="U1" s="16" t="s">
        <v>125</v>
      </c>
      <c r="V1" s="16" t="s">
        <v>119</v>
      </c>
      <c r="W1" s="16" t="s">
        <v>120</v>
      </c>
      <c r="X1" s="16" t="s">
        <v>121</v>
      </c>
      <c r="Y1" s="12" t="s">
        <v>53</v>
      </c>
      <c r="Z1" s="12" t="s">
        <v>54</v>
      </c>
    </row>
    <row r="2" spans="1:26" x14ac:dyDescent="0.25">
      <c r="A2" t="str">
        <f t="shared" ref="A2:A65" si="0">LOOKUP(C2, lkpExt, lkpCat)</f>
        <v>Application</v>
      </c>
      <c r="B2" t="str">
        <f t="shared" ref="B2:B65" si="1">LOOKUP(C2,lkpExt,lkpDesc)</f>
        <v>Microsoft Deployment Manifest</v>
      </c>
      <c r="C2" t="s">
        <v>216</v>
      </c>
      <c r="D2" s="1">
        <f t="shared" ref="D2:D65" si="2">SUMIF(Exts, C2,Bytes)</f>
        <v>0</v>
      </c>
      <c r="E2" s="1">
        <f t="shared" ref="E2:E65" si="3">IF(P2&gt;0,D2/P2,0)</f>
        <v>0</v>
      </c>
      <c r="F2" s="1">
        <f t="shared" ref="F2:F65" si="4">D2/1024/1024</f>
        <v>0</v>
      </c>
      <c r="H2" s="1">
        <f t="shared" ref="H2:H65" si="5">SUMIFS(Bytes,Exts, C2,Age,0)/1024/1024</f>
        <v>0</v>
      </c>
      <c r="I2" s="1">
        <f t="shared" ref="I2:I65" si="6">SUMIFS(Bytes,Exts, C2,Age,1)/1024/1024</f>
        <v>0</v>
      </c>
      <c r="J2" s="1">
        <f t="shared" ref="J2:J65" si="7">SUMIFS(Bytes,Exts, C2,Age,2)/1024/1024</f>
        <v>0</v>
      </c>
      <c r="K2" s="1">
        <f t="shared" ref="K2:K65" si="8">SUMIFS(Bytes,Exts, C2,Age,3)/1024/1024</f>
        <v>0</v>
      </c>
      <c r="L2" s="1">
        <f t="shared" ref="L2:L65" si="9">SUMIFS(Bytes,Exts, C2,Age,4)/1024/1024</f>
        <v>0</v>
      </c>
      <c r="M2" s="1">
        <f t="shared" ref="M2:M65" si="10">SUMIFS(Bytes,Exts, C2,Age,"&lt;5")/1024/1024</f>
        <v>0</v>
      </c>
      <c r="N2" s="1">
        <f t="shared" ref="N2:N65" si="11">SUMIFS(Bytes,Exts, C2,Age,"&gt;=5")/1024/1024</f>
        <v>0</v>
      </c>
      <c r="P2">
        <f t="shared" ref="P2:P65" si="12">COUNTIF(Exts, C2)</f>
        <v>0</v>
      </c>
      <c r="Q2" s="1">
        <f t="shared" ref="Q2:Q65" si="13">COUNTIFS(Exts,C2,Age,0)</f>
        <v>0</v>
      </c>
      <c r="R2">
        <f t="shared" ref="R2:R65" si="14">COUNTIFS(Exts,C2,Age,1)</f>
        <v>0</v>
      </c>
      <c r="S2">
        <f t="shared" ref="S2:S65" si="15">COUNTIFS(Exts,C2,Age,2)</f>
        <v>0</v>
      </c>
      <c r="T2">
        <f t="shared" ref="T2:T65" si="16">COUNTIFS(Exts,C2,Age,3)</f>
        <v>0</v>
      </c>
      <c r="U2">
        <f t="shared" ref="U2:U65" si="17">COUNTIFS(Exts,C2,Age,4)</f>
        <v>0</v>
      </c>
      <c r="V2">
        <f t="shared" ref="V2:V65" si="18">COUNTIFS(Exts,C2,Age,"&lt;5")</f>
        <v>0</v>
      </c>
      <c r="W2">
        <f t="shared" ref="W2:W65" si="19">COUNTIFS(Exts,C2,Age,"&gt;=5")</f>
        <v>0</v>
      </c>
      <c r="X2">
        <f t="shared" ref="X2:X65" si="20">COUNTIFS(Exts,C2,Age,"&gt;=10")</f>
        <v>0</v>
      </c>
      <c r="Y2">
        <f t="shared" ref="Y2:Y33" si="21">COUNTIFS(Exts,C2,Age,"&gt;=15")</f>
        <v>0</v>
      </c>
      <c r="Z2">
        <f t="shared" ref="Z2:Z33" si="22">COUNTIFS(Exts,C2,Age,"&gt;=20")</f>
        <v>0</v>
      </c>
    </row>
    <row r="3" spans="1:26" x14ac:dyDescent="0.25">
      <c r="A3" t="str">
        <f t="shared" si="0"/>
        <v>Application</v>
      </c>
      <c r="B3" t="str">
        <f t="shared" si="1"/>
        <v>Batch File</v>
      </c>
      <c r="C3" t="s">
        <v>415</v>
      </c>
      <c r="D3" s="1">
        <f t="shared" si="2"/>
        <v>0</v>
      </c>
      <c r="E3" s="1">
        <f t="shared" si="3"/>
        <v>0</v>
      </c>
      <c r="F3" s="1">
        <f t="shared" si="4"/>
        <v>0</v>
      </c>
      <c r="H3" s="1">
        <f t="shared" si="5"/>
        <v>0</v>
      </c>
      <c r="I3" s="1">
        <f t="shared" si="6"/>
        <v>0</v>
      </c>
      <c r="J3" s="1">
        <f t="shared" si="7"/>
        <v>0</v>
      </c>
      <c r="K3" s="1">
        <f t="shared" si="8"/>
        <v>0</v>
      </c>
      <c r="L3" s="1">
        <f t="shared" si="9"/>
        <v>0</v>
      </c>
      <c r="M3" s="1">
        <f t="shared" si="10"/>
        <v>0</v>
      </c>
      <c r="N3" s="1">
        <f t="shared" si="11"/>
        <v>0</v>
      </c>
      <c r="P3">
        <f t="shared" si="12"/>
        <v>0</v>
      </c>
      <c r="Q3" s="1">
        <f t="shared" si="13"/>
        <v>0</v>
      </c>
      <c r="R3">
        <f t="shared" si="14"/>
        <v>0</v>
      </c>
      <c r="S3">
        <f t="shared" si="15"/>
        <v>0</v>
      </c>
      <c r="T3">
        <f t="shared" si="16"/>
        <v>0</v>
      </c>
      <c r="U3">
        <f t="shared" si="17"/>
        <v>0</v>
      </c>
      <c r="V3">
        <f t="shared" si="18"/>
        <v>0</v>
      </c>
      <c r="W3">
        <f t="shared" si="19"/>
        <v>0</v>
      </c>
      <c r="X3">
        <f t="shared" si="20"/>
        <v>0</v>
      </c>
      <c r="Y3">
        <f t="shared" si="21"/>
        <v>0</v>
      </c>
      <c r="Z3">
        <f t="shared" si="22"/>
        <v>0</v>
      </c>
    </row>
    <row r="4" spans="1:26" x14ac:dyDescent="0.25">
      <c r="A4" t="str">
        <f t="shared" si="0"/>
        <v>Application</v>
      </c>
      <c r="B4" t="str">
        <f t="shared" si="1"/>
        <v>Catalog File</v>
      </c>
      <c r="C4" t="s">
        <v>232</v>
      </c>
      <c r="D4" s="1">
        <f t="shared" si="2"/>
        <v>0</v>
      </c>
      <c r="E4" s="1">
        <f t="shared" si="3"/>
        <v>0</v>
      </c>
      <c r="F4" s="1">
        <f t="shared" si="4"/>
        <v>0</v>
      </c>
      <c r="H4" s="1">
        <f t="shared" si="5"/>
        <v>0</v>
      </c>
      <c r="I4" s="1">
        <f t="shared" si="6"/>
        <v>0</v>
      </c>
      <c r="J4" s="1">
        <f t="shared" si="7"/>
        <v>0</v>
      </c>
      <c r="K4" s="1">
        <f t="shared" si="8"/>
        <v>0</v>
      </c>
      <c r="L4" s="1">
        <f t="shared" si="9"/>
        <v>0</v>
      </c>
      <c r="M4" s="1">
        <f t="shared" si="10"/>
        <v>0</v>
      </c>
      <c r="N4" s="1">
        <f t="shared" si="11"/>
        <v>0</v>
      </c>
      <c r="P4">
        <f t="shared" si="12"/>
        <v>0</v>
      </c>
      <c r="Q4" s="1">
        <f t="shared" si="13"/>
        <v>0</v>
      </c>
      <c r="R4">
        <f t="shared" si="14"/>
        <v>0</v>
      </c>
      <c r="S4">
        <f t="shared" si="15"/>
        <v>0</v>
      </c>
      <c r="T4">
        <f t="shared" si="16"/>
        <v>0</v>
      </c>
      <c r="U4">
        <f t="shared" si="17"/>
        <v>0</v>
      </c>
      <c r="V4">
        <f t="shared" si="18"/>
        <v>0</v>
      </c>
      <c r="W4">
        <f t="shared" si="19"/>
        <v>0</v>
      </c>
      <c r="X4">
        <f t="shared" si="20"/>
        <v>0</v>
      </c>
      <c r="Y4">
        <f t="shared" si="21"/>
        <v>0</v>
      </c>
      <c r="Z4">
        <f t="shared" si="22"/>
        <v>0</v>
      </c>
    </row>
    <row r="5" spans="1:26" x14ac:dyDescent="0.25">
      <c r="A5" t="str">
        <f t="shared" si="0"/>
        <v>Application</v>
      </c>
      <c r="B5" t="str">
        <f t="shared" si="1"/>
        <v>Config File</v>
      </c>
      <c r="C5" t="s">
        <v>275</v>
      </c>
      <c r="D5" s="1">
        <f t="shared" si="2"/>
        <v>0</v>
      </c>
      <c r="E5" s="1">
        <f t="shared" si="3"/>
        <v>0</v>
      </c>
      <c r="F5" s="1">
        <f t="shared" si="4"/>
        <v>0</v>
      </c>
      <c r="H5" s="1">
        <f t="shared" si="5"/>
        <v>0</v>
      </c>
      <c r="I5" s="1">
        <f t="shared" si="6"/>
        <v>0</v>
      </c>
      <c r="J5" s="1">
        <f t="shared" si="7"/>
        <v>0</v>
      </c>
      <c r="K5" s="1">
        <f t="shared" si="8"/>
        <v>0</v>
      </c>
      <c r="L5" s="1">
        <f t="shared" si="9"/>
        <v>0</v>
      </c>
      <c r="M5" s="1">
        <f t="shared" si="10"/>
        <v>0</v>
      </c>
      <c r="N5" s="1">
        <f t="shared" si="11"/>
        <v>0</v>
      </c>
      <c r="P5">
        <f t="shared" si="12"/>
        <v>0</v>
      </c>
      <c r="Q5" s="1">
        <f t="shared" si="13"/>
        <v>0</v>
      </c>
      <c r="R5">
        <f t="shared" si="14"/>
        <v>0</v>
      </c>
      <c r="S5">
        <f t="shared" si="15"/>
        <v>0</v>
      </c>
      <c r="T5">
        <f t="shared" si="16"/>
        <v>0</v>
      </c>
      <c r="U5">
        <f t="shared" si="17"/>
        <v>0</v>
      </c>
      <c r="V5">
        <f t="shared" si="18"/>
        <v>0</v>
      </c>
      <c r="W5">
        <f t="shared" si="19"/>
        <v>0</v>
      </c>
      <c r="X5">
        <f t="shared" si="20"/>
        <v>0</v>
      </c>
      <c r="Y5">
        <f t="shared" si="21"/>
        <v>0</v>
      </c>
      <c r="Z5">
        <f t="shared" si="22"/>
        <v>0</v>
      </c>
    </row>
    <row r="6" spans="1:26" x14ac:dyDescent="0.25">
      <c r="A6" t="str">
        <f t="shared" si="0"/>
        <v>Application</v>
      </c>
      <c r="B6" t="str">
        <f t="shared" si="1"/>
        <v xml:space="preserve">Windows Index Service Catalog Indexer </v>
      </c>
      <c r="C6" t="s">
        <v>228</v>
      </c>
      <c r="D6" s="1">
        <f t="shared" si="2"/>
        <v>0</v>
      </c>
      <c r="E6" s="1">
        <f t="shared" si="3"/>
        <v>0</v>
      </c>
      <c r="F6" s="1">
        <f t="shared" si="4"/>
        <v>0</v>
      </c>
      <c r="H6" s="1">
        <f t="shared" si="5"/>
        <v>0</v>
      </c>
      <c r="I6" s="1">
        <f t="shared" si="6"/>
        <v>0</v>
      </c>
      <c r="J6" s="1">
        <f t="shared" si="7"/>
        <v>0</v>
      </c>
      <c r="K6" s="1">
        <f t="shared" si="8"/>
        <v>0</v>
      </c>
      <c r="L6" s="1">
        <f t="shared" si="9"/>
        <v>0</v>
      </c>
      <c r="M6" s="1">
        <f t="shared" si="10"/>
        <v>0</v>
      </c>
      <c r="N6" s="1">
        <f t="shared" si="11"/>
        <v>0</v>
      </c>
      <c r="P6">
        <f t="shared" si="12"/>
        <v>0</v>
      </c>
      <c r="Q6" s="1">
        <f t="shared" si="13"/>
        <v>0</v>
      </c>
      <c r="R6">
        <f t="shared" si="14"/>
        <v>0</v>
      </c>
      <c r="S6">
        <f t="shared" si="15"/>
        <v>0</v>
      </c>
      <c r="T6">
        <f t="shared" si="16"/>
        <v>0</v>
      </c>
      <c r="U6">
        <f t="shared" si="17"/>
        <v>0</v>
      </c>
      <c r="V6">
        <f t="shared" si="18"/>
        <v>0</v>
      </c>
      <c r="W6">
        <f t="shared" si="19"/>
        <v>0</v>
      </c>
      <c r="X6">
        <f t="shared" si="20"/>
        <v>0</v>
      </c>
      <c r="Y6">
        <f t="shared" si="21"/>
        <v>0</v>
      </c>
      <c r="Z6">
        <f t="shared" si="22"/>
        <v>0</v>
      </c>
    </row>
    <row r="7" spans="1:26" x14ac:dyDescent="0.25">
      <c r="A7" t="str">
        <f t="shared" si="0"/>
        <v>Application</v>
      </c>
      <c r="B7" t="str">
        <f t="shared" si="1"/>
        <v>Java Class</v>
      </c>
      <c r="C7" t="s">
        <v>169</v>
      </c>
      <c r="D7" s="1">
        <f t="shared" si="2"/>
        <v>0</v>
      </c>
      <c r="E7" s="1">
        <f t="shared" si="3"/>
        <v>0</v>
      </c>
      <c r="F7" s="1">
        <f t="shared" si="4"/>
        <v>0</v>
      </c>
      <c r="H7" s="1">
        <f t="shared" si="5"/>
        <v>0</v>
      </c>
      <c r="I7" s="1">
        <f t="shared" si="6"/>
        <v>0</v>
      </c>
      <c r="J7" s="1">
        <f t="shared" si="7"/>
        <v>0</v>
      </c>
      <c r="K7" s="1">
        <f t="shared" si="8"/>
        <v>0</v>
      </c>
      <c r="L7" s="1">
        <f t="shared" si="9"/>
        <v>0</v>
      </c>
      <c r="M7" s="1">
        <f t="shared" si="10"/>
        <v>0</v>
      </c>
      <c r="N7" s="1">
        <f t="shared" si="11"/>
        <v>0</v>
      </c>
      <c r="P7">
        <f t="shared" si="12"/>
        <v>0</v>
      </c>
      <c r="Q7" s="1">
        <f t="shared" si="13"/>
        <v>0</v>
      </c>
      <c r="R7">
        <f t="shared" si="14"/>
        <v>0</v>
      </c>
      <c r="S7">
        <f t="shared" si="15"/>
        <v>0</v>
      </c>
      <c r="T7">
        <f t="shared" si="16"/>
        <v>0</v>
      </c>
      <c r="U7">
        <f t="shared" si="17"/>
        <v>0</v>
      </c>
      <c r="V7">
        <f t="shared" si="18"/>
        <v>0</v>
      </c>
      <c r="W7">
        <f t="shared" si="19"/>
        <v>0</v>
      </c>
      <c r="X7">
        <f t="shared" si="20"/>
        <v>0</v>
      </c>
      <c r="Y7">
        <f t="shared" si="21"/>
        <v>0</v>
      </c>
      <c r="Z7">
        <f t="shared" si="22"/>
        <v>0</v>
      </c>
    </row>
    <row r="8" spans="1:26" x14ac:dyDescent="0.25">
      <c r="A8" t="str">
        <f t="shared" si="0"/>
        <v>Application</v>
      </c>
      <c r="B8" t="str">
        <f t="shared" si="1"/>
        <v>MySQL Configuration</v>
      </c>
      <c r="C8" t="s">
        <v>161</v>
      </c>
      <c r="D8" s="1">
        <f t="shared" si="2"/>
        <v>0</v>
      </c>
      <c r="E8" s="1">
        <f t="shared" si="3"/>
        <v>0</v>
      </c>
      <c r="F8" s="1">
        <f t="shared" si="4"/>
        <v>0</v>
      </c>
      <c r="H8" s="1">
        <f t="shared" si="5"/>
        <v>0</v>
      </c>
      <c r="I8" s="1">
        <f t="shared" si="6"/>
        <v>0</v>
      </c>
      <c r="J8" s="1">
        <f t="shared" si="7"/>
        <v>0</v>
      </c>
      <c r="K8" s="1">
        <f t="shared" si="8"/>
        <v>0</v>
      </c>
      <c r="L8" s="1">
        <f t="shared" si="9"/>
        <v>0</v>
      </c>
      <c r="M8" s="1">
        <f t="shared" si="10"/>
        <v>0</v>
      </c>
      <c r="N8" s="1">
        <f t="shared" si="11"/>
        <v>0</v>
      </c>
      <c r="P8">
        <f t="shared" si="12"/>
        <v>0</v>
      </c>
      <c r="Q8" s="1">
        <f t="shared" si="13"/>
        <v>0</v>
      </c>
      <c r="R8">
        <f t="shared" si="14"/>
        <v>0</v>
      </c>
      <c r="S8">
        <f t="shared" si="15"/>
        <v>0</v>
      </c>
      <c r="T8">
        <f t="shared" si="16"/>
        <v>0</v>
      </c>
      <c r="U8">
        <f t="shared" si="17"/>
        <v>0</v>
      </c>
      <c r="V8">
        <f t="shared" si="18"/>
        <v>0</v>
      </c>
      <c r="W8">
        <f t="shared" si="19"/>
        <v>0</v>
      </c>
      <c r="X8">
        <f t="shared" si="20"/>
        <v>0</v>
      </c>
      <c r="Y8">
        <f t="shared" si="21"/>
        <v>0</v>
      </c>
      <c r="Z8">
        <f t="shared" si="22"/>
        <v>0</v>
      </c>
    </row>
    <row r="9" spans="1:26" x14ac:dyDescent="0.25">
      <c r="A9" t="str">
        <f t="shared" si="0"/>
        <v>Application</v>
      </c>
      <c r="B9" t="str">
        <f t="shared" si="1"/>
        <v xml:space="preserve">Windows Help Contents File </v>
      </c>
      <c r="C9" t="s">
        <v>264</v>
      </c>
      <c r="D9" s="1">
        <f t="shared" si="2"/>
        <v>0</v>
      </c>
      <c r="E9" s="1">
        <f t="shared" si="3"/>
        <v>0</v>
      </c>
      <c r="F9" s="1">
        <f t="shared" si="4"/>
        <v>0</v>
      </c>
      <c r="H9" s="1">
        <f t="shared" si="5"/>
        <v>0</v>
      </c>
      <c r="I9" s="1">
        <f t="shared" si="6"/>
        <v>0</v>
      </c>
      <c r="J9" s="1">
        <f t="shared" si="7"/>
        <v>0</v>
      </c>
      <c r="K9" s="1">
        <f t="shared" si="8"/>
        <v>0</v>
      </c>
      <c r="L9" s="1">
        <f t="shared" si="9"/>
        <v>0</v>
      </c>
      <c r="M9" s="1">
        <f t="shared" si="10"/>
        <v>0</v>
      </c>
      <c r="N9" s="1">
        <f t="shared" si="11"/>
        <v>0</v>
      </c>
      <c r="P9">
        <f t="shared" si="12"/>
        <v>0</v>
      </c>
      <c r="Q9" s="1">
        <f t="shared" si="13"/>
        <v>0</v>
      </c>
      <c r="R9">
        <f t="shared" si="14"/>
        <v>0</v>
      </c>
      <c r="S9">
        <f t="shared" si="15"/>
        <v>0</v>
      </c>
      <c r="T9">
        <f t="shared" si="16"/>
        <v>0</v>
      </c>
      <c r="U9">
        <f t="shared" si="17"/>
        <v>0</v>
      </c>
      <c r="V9">
        <f t="shared" si="18"/>
        <v>0</v>
      </c>
      <c r="W9">
        <f t="shared" si="19"/>
        <v>0</v>
      </c>
      <c r="X9">
        <f t="shared" si="20"/>
        <v>0</v>
      </c>
      <c r="Y9">
        <f t="shared" si="21"/>
        <v>0</v>
      </c>
      <c r="Z9">
        <f t="shared" si="22"/>
        <v>0</v>
      </c>
    </row>
    <row r="10" spans="1:26" x14ac:dyDescent="0.25">
      <c r="A10" t="str">
        <f t="shared" si="0"/>
        <v>Application</v>
      </c>
      <c r="B10" t="str">
        <f t="shared" si="1"/>
        <v xml:space="preserve">ASP.NET </v>
      </c>
      <c r="C10" t="s">
        <v>179</v>
      </c>
      <c r="D10" s="1">
        <f t="shared" si="2"/>
        <v>0</v>
      </c>
      <c r="E10" s="1">
        <f t="shared" si="3"/>
        <v>0</v>
      </c>
      <c r="F10" s="1">
        <f t="shared" si="4"/>
        <v>0</v>
      </c>
      <c r="H10" s="1">
        <f t="shared" si="5"/>
        <v>0</v>
      </c>
      <c r="I10" s="1">
        <f t="shared" si="6"/>
        <v>0</v>
      </c>
      <c r="J10" s="1">
        <f t="shared" si="7"/>
        <v>0</v>
      </c>
      <c r="K10" s="1">
        <f t="shared" si="8"/>
        <v>0</v>
      </c>
      <c r="L10" s="1">
        <f t="shared" si="9"/>
        <v>0</v>
      </c>
      <c r="M10" s="1">
        <f t="shared" si="10"/>
        <v>0</v>
      </c>
      <c r="N10" s="1">
        <f t="shared" si="11"/>
        <v>0</v>
      </c>
      <c r="P10">
        <f t="shared" si="12"/>
        <v>0</v>
      </c>
      <c r="Q10" s="1">
        <f t="shared" si="13"/>
        <v>0</v>
      </c>
      <c r="R10">
        <f t="shared" si="14"/>
        <v>0</v>
      </c>
      <c r="S10">
        <f t="shared" si="15"/>
        <v>0</v>
      </c>
      <c r="T10">
        <f t="shared" si="16"/>
        <v>0</v>
      </c>
      <c r="U10">
        <f t="shared" si="17"/>
        <v>0</v>
      </c>
      <c r="V10">
        <f t="shared" si="18"/>
        <v>0</v>
      </c>
      <c r="W10">
        <f t="shared" si="19"/>
        <v>0</v>
      </c>
      <c r="X10">
        <f t="shared" si="20"/>
        <v>0</v>
      </c>
      <c r="Y10">
        <f t="shared" si="21"/>
        <v>0</v>
      </c>
      <c r="Z10">
        <f t="shared" si="22"/>
        <v>0</v>
      </c>
    </row>
    <row r="11" spans="1:26" x14ac:dyDescent="0.25">
      <c r="A11" t="str">
        <f t="shared" si="0"/>
        <v>Application</v>
      </c>
      <c r="B11" t="str">
        <f t="shared" si="1"/>
        <v>Config File</v>
      </c>
      <c r="C11" t="s">
        <v>128</v>
      </c>
      <c r="D11" s="1">
        <f t="shared" si="2"/>
        <v>0</v>
      </c>
      <c r="E11" s="1">
        <f t="shared" si="3"/>
        <v>0</v>
      </c>
      <c r="F11" s="1">
        <f t="shared" si="4"/>
        <v>0</v>
      </c>
      <c r="H11" s="1">
        <f t="shared" si="5"/>
        <v>0</v>
      </c>
      <c r="I11" s="1">
        <f t="shared" si="6"/>
        <v>0</v>
      </c>
      <c r="J11" s="1">
        <f t="shared" si="7"/>
        <v>0</v>
      </c>
      <c r="K11" s="1">
        <f t="shared" si="8"/>
        <v>0</v>
      </c>
      <c r="L11" s="1">
        <f t="shared" si="9"/>
        <v>0</v>
      </c>
      <c r="M11" s="1">
        <f t="shared" si="10"/>
        <v>0</v>
      </c>
      <c r="N11" s="1">
        <f t="shared" si="11"/>
        <v>0</v>
      </c>
      <c r="P11">
        <f t="shared" si="12"/>
        <v>0</v>
      </c>
      <c r="Q11" s="1">
        <f t="shared" si="13"/>
        <v>0</v>
      </c>
      <c r="R11">
        <f t="shared" si="14"/>
        <v>0</v>
      </c>
      <c r="S11">
        <f t="shared" si="15"/>
        <v>0</v>
      </c>
      <c r="T11">
        <f t="shared" si="16"/>
        <v>0</v>
      </c>
      <c r="U11">
        <f t="shared" si="17"/>
        <v>0</v>
      </c>
      <c r="V11">
        <f t="shared" si="18"/>
        <v>0</v>
      </c>
      <c r="W11">
        <f t="shared" si="19"/>
        <v>0</v>
      </c>
      <c r="X11">
        <f t="shared" si="20"/>
        <v>0</v>
      </c>
      <c r="Y11">
        <f t="shared" si="21"/>
        <v>0</v>
      </c>
      <c r="Z11">
        <f t="shared" si="22"/>
        <v>0</v>
      </c>
    </row>
    <row r="12" spans="1:26" x14ac:dyDescent="0.25">
      <c r="A12" t="str">
        <f t="shared" si="0"/>
        <v>Application</v>
      </c>
      <c r="B12" t="str">
        <f t="shared" si="1"/>
        <v>C++</v>
      </c>
      <c r="C12" t="s">
        <v>310</v>
      </c>
      <c r="D12" s="1">
        <f t="shared" si="2"/>
        <v>0</v>
      </c>
      <c r="E12" s="1">
        <f t="shared" si="3"/>
        <v>0</v>
      </c>
      <c r="F12" s="1">
        <f t="shared" si="4"/>
        <v>0</v>
      </c>
      <c r="H12" s="1">
        <f t="shared" si="5"/>
        <v>0</v>
      </c>
      <c r="I12" s="1">
        <f t="shared" si="6"/>
        <v>0</v>
      </c>
      <c r="J12" s="1">
        <f t="shared" si="7"/>
        <v>0</v>
      </c>
      <c r="K12" s="1">
        <f t="shared" si="8"/>
        <v>0</v>
      </c>
      <c r="L12" s="1">
        <f t="shared" si="9"/>
        <v>0</v>
      </c>
      <c r="M12" s="1">
        <f t="shared" si="10"/>
        <v>0</v>
      </c>
      <c r="N12" s="1">
        <f t="shared" si="11"/>
        <v>0</v>
      </c>
      <c r="P12">
        <f t="shared" si="12"/>
        <v>0</v>
      </c>
      <c r="Q12" s="1">
        <f t="shared" si="13"/>
        <v>0</v>
      </c>
      <c r="R12">
        <f t="shared" si="14"/>
        <v>0</v>
      </c>
      <c r="S12">
        <f t="shared" si="15"/>
        <v>0</v>
      </c>
      <c r="T12">
        <f t="shared" si="16"/>
        <v>0</v>
      </c>
      <c r="U12">
        <f t="shared" si="17"/>
        <v>0</v>
      </c>
      <c r="V12">
        <f t="shared" si="18"/>
        <v>0</v>
      </c>
      <c r="W12">
        <f t="shared" si="19"/>
        <v>0</v>
      </c>
      <c r="X12">
        <f t="shared" si="20"/>
        <v>0</v>
      </c>
      <c r="Y12">
        <f t="shared" si="21"/>
        <v>0</v>
      </c>
      <c r="Z12">
        <f t="shared" si="22"/>
        <v>0</v>
      </c>
    </row>
    <row r="13" spans="1:26" x14ac:dyDescent="0.25">
      <c r="A13" t="str">
        <f t="shared" si="0"/>
        <v>Application</v>
      </c>
      <c r="B13" t="str">
        <f t="shared" si="1"/>
        <v>C#</v>
      </c>
      <c r="C13" t="s">
        <v>130</v>
      </c>
      <c r="D13" s="1">
        <f t="shared" si="2"/>
        <v>0</v>
      </c>
      <c r="E13" s="1">
        <f t="shared" si="3"/>
        <v>0</v>
      </c>
      <c r="F13" s="1">
        <f t="shared" si="4"/>
        <v>0</v>
      </c>
      <c r="H13" s="1">
        <f t="shared" si="5"/>
        <v>0</v>
      </c>
      <c r="I13" s="1">
        <f t="shared" si="6"/>
        <v>0</v>
      </c>
      <c r="J13" s="1">
        <f t="shared" si="7"/>
        <v>0</v>
      </c>
      <c r="K13" s="1">
        <f t="shared" si="8"/>
        <v>0</v>
      </c>
      <c r="L13" s="1">
        <f t="shared" si="9"/>
        <v>0</v>
      </c>
      <c r="M13" s="1">
        <f t="shared" si="10"/>
        <v>0</v>
      </c>
      <c r="N13" s="1">
        <f t="shared" si="11"/>
        <v>0</v>
      </c>
      <c r="P13">
        <f t="shared" si="12"/>
        <v>0</v>
      </c>
      <c r="Q13" s="1">
        <f t="shared" si="13"/>
        <v>0</v>
      </c>
      <c r="R13">
        <f t="shared" si="14"/>
        <v>0</v>
      </c>
      <c r="S13">
        <f t="shared" si="15"/>
        <v>0</v>
      </c>
      <c r="T13">
        <f t="shared" si="16"/>
        <v>0</v>
      </c>
      <c r="U13">
        <f t="shared" si="17"/>
        <v>0</v>
      </c>
      <c r="V13">
        <f t="shared" si="18"/>
        <v>0</v>
      </c>
      <c r="W13">
        <f t="shared" si="19"/>
        <v>0</v>
      </c>
      <c r="X13">
        <f t="shared" si="20"/>
        <v>0</v>
      </c>
      <c r="Y13">
        <f t="shared" si="21"/>
        <v>0</v>
      </c>
      <c r="Z13">
        <f t="shared" si="22"/>
        <v>0</v>
      </c>
    </row>
    <row r="14" spans="1:26" x14ac:dyDescent="0.25">
      <c r="A14" t="str">
        <f t="shared" si="0"/>
        <v>Application</v>
      </c>
      <c r="B14" t="str">
        <f t="shared" si="1"/>
        <v xml:space="preserve">Blackberry Code Signing </v>
      </c>
      <c r="C14" t="s">
        <v>263</v>
      </c>
      <c r="D14" s="1">
        <f t="shared" si="2"/>
        <v>0</v>
      </c>
      <c r="E14" s="1">
        <f t="shared" si="3"/>
        <v>0</v>
      </c>
      <c r="F14" s="1">
        <f t="shared" si="4"/>
        <v>0</v>
      </c>
      <c r="H14" s="1">
        <f t="shared" si="5"/>
        <v>0</v>
      </c>
      <c r="I14" s="1">
        <f t="shared" si="6"/>
        <v>0</v>
      </c>
      <c r="J14" s="1">
        <f t="shared" si="7"/>
        <v>0</v>
      </c>
      <c r="K14" s="1">
        <f t="shared" si="8"/>
        <v>0</v>
      </c>
      <c r="L14" s="1">
        <f t="shared" si="9"/>
        <v>0</v>
      </c>
      <c r="M14" s="1">
        <f t="shared" si="10"/>
        <v>0</v>
      </c>
      <c r="N14" s="1">
        <f t="shared" si="11"/>
        <v>0</v>
      </c>
      <c r="P14">
        <f t="shared" si="12"/>
        <v>0</v>
      </c>
      <c r="Q14" s="1">
        <f t="shared" si="13"/>
        <v>0</v>
      </c>
      <c r="R14">
        <f t="shared" si="14"/>
        <v>0</v>
      </c>
      <c r="S14">
        <f t="shared" si="15"/>
        <v>0</v>
      </c>
      <c r="T14">
        <f t="shared" si="16"/>
        <v>0</v>
      </c>
      <c r="U14">
        <f t="shared" si="17"/>
        <v>0</v>
      </c>
      <c r="V14">
        <f t="shared" si="18"/>
        <v>0</v>
      </c>
      <c r="W14">
        <f t="shared" si="19"/>
        <v>0</v>
      </c>
      <c r="X14">
        <f t="shared" si="20"/>
        <v>0</v>
      </c>
      <c r="Y14">
        <f t="shared" si="21"/>
        <v>0</v>
      </c>
      <c r="Z14">
        <f t="shared" si="22"/>
        <v>0</v>
      </c>
    </row>
    <row r="15" spans="1:26" x14ac:dyDescent="0.25">
      <c r="A15" t="str">
        <f t="shared" si="0"/>
        <v>Application</v>
      </c>
      <c r="B15" t="str">
        <f t="shared" si="1"/>
        <v xml:space="preserve">ASP.NET </v>
      </c>
      <c r="C15" t="s">
        <v>217</v>
      </c>
      <c r="D15" s="1">
        <f t="shared" si="2"/>
        <v>0</v>
      </c>
      <c r="E15" s="1">
        <f t="shared" si="3"/>
        <v>0</v>
      </c>
      <c r="F15" s="1">
        <f t="shared" si="4"/>
        <v>0</v>
      </c>
      <c r="H15" s="1">
        <f t="shared" si="5"/>
        <v>0</v>
      </c>
      <c r="I15" s="1">
        <f t="shared" si="6"/>
        <v>0</v>
      </c>
      <c r="J15" s="1">
        <f t="shared" si="7"/>
        <v>0</v>
      </c>
      <c r="K15" s="1">
        <f t="shared" si="8"/>
        <v>0</v>
      </c>
      <c r="L15" s="1">
        <f t="shared" si="9"/>
        <v>0</v>
      </c>
      <c r="M15" s="1">
        <f t="shared" si="10"/>
        <v>0</v>
      </c>
      <c r="N15" s="1">
        <f t="shared" si="11"/>
        <v>0</v>
      </c>
      <c r="P15">
        <f t="shared" si="12"/>
        <v>0</v>
      </c>
      <c r="Q15" s="1">
        <f t="shared" si="13"/>
        <v>0</v>
      </c>
      <c r="R15">
        <f t="shared" si="14"/>
        <v>0</v>
      </c>
      <c r="S15">
        <f t="shared" si="15"/>
        <v>0</v>
      </c>
      <c r="T15">
        <f t="shared" si="16"/>
        <v>0</v>
      </c>
      <c r="U15">
        <f t="shared" si="17"/>
        <v>0</v>
      </c>
      <c r="V15">
        <f t="shared" si="18"/>
        <v>0</v>
      </c>
      <c r="W15">
        <f t="shared" si="19"/>
        <v>0</v>
      </c>
      <c r="X15">
        <f t="shared" si="20"/>
        <v>0</v>
      </c>
      <c r="Y15">
        <f t="shared" si="21"/>
        <v>0</v>
      </c>
      <c r="Z15">
        <f t="shared" si="22"/>
        <v>0</v>
      </c>
    </row>
    <row r="16" spans="1:26" x14ac:dyDescent="0.25">
      <c r="A16" t="str">
        <f t="shared" si="0"/>
        <v>Application</v>
      </c>
      <c r="B16" t="str">
        <f t="shared" si="1"/>
        <v>Dictionary File</v>
      </c>
      <c r="C16" t="s">
        <v>181</v>
      </c>
      <c r="D16" s="1">
        <f t="shared" si="2"/>
        <v>0</v>
      </c>
      <c r="E16" s="1">
        <f t="shared" si="3"/>
        <v>0</v>
      </c>
      <c r="F16" s="1">
        <f t="shared" si="4"/>
        <v>0</v>
      </c>
      <c r="H16" s="1">
        <f t="shared" si="5"/>
        <v>0</v>
      </c>
      <c r="I16" s="1">
        <f t="shared" si="6"/>
        <v>0</v>
      </c>
      <c r="J16" s="1">
        <f t="shared" si="7"/>
        <v>0</v>
      </c>
      <c r="K16" s="1">
        <f t="shared" si="8"/>
        <v>0</v>
      </c>
      <c r="L16" s="1">
        <f t="shared" si="9"/>
        <v>0</v>
      </c>
      <c r="M16" s="1">
        <f t="shared" si="10"/>
        <v>0</v>
      </c>
      <c r="N16" s="1">
        <f t="shared" si="11"/>
        <v>0</v>
      </c>
      <c r="P16">
        <f t="shared" si="12"/>
        <v>0</v>
      </c>
      <c r="Q16" s="1">
        <f t="shared" si="13"/>
        <v>0</v>
      </c>
      <c r="R16">
        <f t="shared" si="14"/>
        <v>0</v>
      </c>
      <c r="S16">
        <f t="shared" si="15"/>
        <v>0</v>
      </c>
      <c r="T16">
        <f t="shared" si="16"/>
        <v>0</v>
      </c>
      <c r="U16">
        <f t="shared" si="17"/>
        <v>0</v>
      </c>
      <c r="V16">
        <f t="shared" si="18"/>
        <v>0</v>
      </c>
      <c r="W16">
        <f t="shared" si="19"/>
        <v>0</v>
      </c>
      <c r="X16">
        <f t="shared" si="20"/>
        <v>0</v>
      </c>
      <c r="Y16">
        <f t="shared" si="21"/>
        <v>0</v>
      </c>
      <c r="Z16">
        <f t="shared" si="22"/>
        <v>0</v>
      </c>
    </row>
    <row r="17" spans="1:26" x14ac:dyDescent="0.25">
      <c r="A17" t="str">
        <f t="shared" si="0"/>
        <v>Application</v>
      </c>
      <c r="B17" t="str">
        <f t="shared" si="1"/>
        <v>Adobe Director or Directory Info</v>
      </c>
      <c r="C17" t="s">
        <v>229</v>
      </c>
      <c r="D17" s="1">
        <f t="shared" si="2"/>
        <v>0</v>
      </c>
      <c r="E17" s="1">
        <f t="shared" si="3"/>
        <v>0</v>
      </c>
      <c r="F17" s="1">
        <f t="shared" si="4"/>
        <v>0</v>
      </c>
      <c r="H17" s="1">
        <f t="shared" si="5"/>
        <v>0</v>
      </c>
      <c r="I17" s="1">
        <f t="shared" si="6"/>
        <v>0</v>
      </c>
      <c r="J17" s="1">
        <f t="shared" si="7"/>
        <v>0</v>
      </c>
      <c r="K17" s="1">
        <f t="shared" si="8"/>
        <v>0</v>
      </c>
      <c r="L17" s="1">
        <f t="shared" si="9"/>
        <v>0</v>
      </c>
      <c r="M17" s="1">
        <f t="shared" si="10"/>
        <v>0</v>
      </c>
      <c r="N17" s="1">
        <f t="shared" si="11"/>
        <v>0</v>
      </c>
      <c r="P17">
        <f t="shared" si="12"/>
        <v>0</v>
      </c>
      <c r="Q17" s="1">
        <f t="shared" si="13"/>
        <v>0</v>
      </c>
      <c r="R17">
        <f t="shared" si="14"/>
        <v>0</v>
      </c>
      <c r="S17">
        <f t="shared" si="15"/>
        <v>0</v>
      </c>
      <c r="T17">
        <f t="shared" si="16"/>
        <v>0</v>
      </c>
      <c r="U17">
        <f t="shared" si="17"/>
        <v>0</v>
      </c>
      <c r="V17">
        <f t="shared" si="18"/>
        <v>0</v>
      </c>
      <c r="W17">
        <f t="shared" si="19"/>
        <v>0</v>
      </c>
      <c r="X17">
        <f t="shared" si="20"/>
        <v>0</v>
      </c>
      <c r="Y17">
        <f t="shared" si="21"/>
        <v>0</v>
      </c>
      <c r="Z17">
        <f t="shared" si="22"/>
        <v>0</v>
      </c>
    </row>
    <row r="18" spans="1:26" x14ac:dyDescent="0.25">
      <c r="A18" t="str">
        <f t="shared" si="0"/>
        <v>Application</v>
      </c>
      <c r="B18" t="str">
        <f t="shared" si="1"/>
        <v>Application Library</v>
      </c>
      <c r="C18" t="s">
        <v>177</v>
      </c>
      <c r="D18" s="1">
        <f t="shared" si="2"/>
        <v>0</v>
      </c>
      <c r="E18" s="1">
        <f t="shared" si="3"/>
        <v>0</v>
      </c>
      <c r="F18" s="1">
        <f t="shared" si="4"/>
        <v>0</v>
      </c>
      <c r="H18" s="1">
        <f t="shared" si="5"/>
        <v>0</v>
      </c>
      <c r="I18" s="1">
        <f t="shared" si="6"/>
        <v>0</v>
      </c>
      <c r="J18" s="1">
        <f t="shared" si="7"/>
        <v>0</v>
      </c>
      <c r="K18" s="1">
        <f t="shared" si="8"/>
        <v>0</v>
      </c>
      <c r="L18" s="1">
        <f t="shared" si="9"/>
        <v>0</v>
      </c>
      <c r="M18" s="1">
        <f t="shared" si="10"/>
        <v>0</v>
      </c>
      <c r="N18" s="1">
        <f t="shared" si="11"/>
        <v>0</v>
      </c>
      <c r="P18">
        <f t="shared" si="12"/>
        <v>0</v>
      </c>
      <c r="Q18" s="1">
        <f t="shared" si="13"/>
        <v>0</v>
      </c>
      <c r="R18">
        <f t="shared" si="14"/>
        <v>0</v>
      </c>
      <c r="S18">
        <f t="shared" si="15"/>
        <v>0</v>
      </c>
      <c r="T18">
        <f t="shared" si="16"/>
        <v>0</v>
      </c>
      <c r="U18">
        <f t="shared" si="17"/>
        <v>0</v>
      </c>
      <c r="V18">
        <f t="shared" si="18"/>
        <v>0</v>
      </c>
      <c r="W18">
        <f t="shared" si="19"/>
        <v>0</v>
      </c>
      <c r="X18">
        <f t="shared" si="20"/>
        <v>0</v>
      </c>
      <c r="Y18">
        <f t="shared" si="21"/>
        <v>0</v>
      </c>
      <c r="Z18">
        <f t="shared" si="22"/>
        <v>0</v>
      </c>
    </row>
    <row r="19" spans="1:26" x14ac:dyDescent="0.25">
      <c r="A19" t="str">
        <f t="shared" si="0"/>
        <v>Application</v>
      </c>
      <c r="B19" t="str">
        <f t="shared" si="1"/>
        <v>Error log (Symantec, MySQL, etc.)</v>
      </c>
      <c r="C19" t="s">
        <v>262</v>
      </c>
      <c r="D19" s="1">
        <f t="shared" si="2"/>
        <v>0</v>
      </c>
      <c r="E19" s="1">
        <f t="shared" si="3"/>
        <v>0</v>
      </c>
      <c r="F19" s="1">
        <f t="shared" si="4"/>
        <v>0</v>
      </c>
      <c r="H19" s="1">
        <f t="shared" si="5"/>
        <v>0</v>
      </c>
      <c r="I19" s="1">
        <f t="shared" si="6"/>
        <v>0</v>
      </c>
      <c r="J19" s="1">
        <f t="shared" si="7"/>
        <v>0</v>
      </c>
      <c r="K19" s="1">
        <f t="shared" si="8"/>
        <v>0</v>
      </c>
      <c r="L19" s="1">
        <f t="shared" si="9"/>
        <v>0</v>
      </c>
      <c r="M19" s="1">
        <f t="shared" si="10"/>
        <v>0</v>
      </c>
      <c r="N19" s="1">
        <f t="shared" si="11"/>
        <v>0</v>
      </c>
      <c r="P19">
        <f t="shared" si="12"/>
        <v>0</v>
      </c>
      <c r="Q19" s="1">
        <f t="shared" si="13"/>
        <v>0</v>
      </c>
      <c r="R19">
        <f t="shared" si="14"/>
        <v>0</v>
      </c>
      <c r="S19">
        <f t="shared" si="15"/>
        <v>0</v>
      </c>
      <c r="T19">
        <f t="shared" si="16"/>
        <v>0</v>
      </c>
      <c r="U19">
        <f t="shared" si="17"/>
        <v>0</v>
      </c>
      <c r="V19">
        <f t="shared" si="18"/>
        <v>0</v>
      </c>
      <c r="W19">
        <f t="shared" si="19"/>
        <v>0</v>
      </c>
      <c r="X19">
        <f t="shared" si="20"/>
        <v>0</v>
      </c>
      <c r="Y19">
        <f t="shared" si="21"/>
        <v>0</v>
      </c>
      <c r="Z19">
        <f t="shared" si="22"/>
        <v>0</v>
      </c>
    </row>
    <row r="20" spans="1:26" x14ac:dyDescent="0.25">
      <c r="A20" t="str">
        <f t="shared" si="0"/>
        <v>Application</v>
      </c>
      <c r="B20" t="str">
        <f t="shared" si="1"/>
        <v>Executable Application</v>
      </c>
      <c r="C20" t="s">
        <v>152</v>
      </c>
      <c r="D20" s="1">
        <f t="shared" si="2"/>
        <v>0</v>
      </c>
      <c r="E20" s="1">
        <f t="shared" si="3"/>
        <v>0</v>
      </c>
      <c r="F20" s="1">
        <f t="shared" si="4"/>
        <v>0</v>
      </c>
      <c r="H20" s="1">
        <f t="shared" si="5"/>
        <v>0</v>
      </c>
      <c r="I20" s="1">
        <f t="shared" si="6"/>
        <v>0</v>
      </c>
      <c r="J20" s="1">
        <f t="shared" si="7"/>
        <v>0</v>
      </c>
      <c r="K20" s="1">
        <f t="shared" si="8"/>
        <v>0</v>
      </c>
      <c r="L20" s="1">
        <f t="shared" si="9"/>
        <v>0</v>
      </c>
      <c r="M20" s="1">
        <f t="shared" si="10"/>
        <v>0</v>
      </c>
      <c r="N20" s="1">
        <f t="shared" si="11"/>
        <v>0</v>
      </c>
      <c r="P20">
        <f t="shared" si="12"/>
        <v>0</v>
      </c>
      <c r="Q20" s="1">
        <f t="shared" si="13"/>
        <v>0</v>
      </c>
      <c r="R20">
        <f t="shared" si="14"/>
        <v>0</v>
      </c>
      <c r="S20">
        <f t="shared" si="15"/>
        <v>0</v>
      </c>
      <c r="T20">
        <f t="shared" si="16"/>
        <v>0</v>
      </c>
      <c r="U20">
        <f t="shared" si="17"/>
        <v>0</v>
      </c>
      <c r="V20">
        <f t="shared" si="18"/>
        <v>0</v>
      </c>
      <c r="W20">
        <f t="shared" si="19"/>
        <v>0</v>
      </c>
      <c r="X20">
        <f t="shared" si="20"/>
        <v>0</v>
      </c>
      <c r="Y20">
        <f t="shared" si="21"/>
        <v>0</v>
      </c>
      <c r="Z20">
        <f t="shared" si="22"/>
        <v>0</v>
      </c>
    </row>
    <row r="21" spans="1:26" x14ac:dyDescent="0.25">
      <c r="A21" t="str">
        <f t="shared" si="0"/>
        <v>Application</v>
      </c>
      <c r="B21" t="str">
        <f t="shared" si="1"/>
        <v>Microsoft FoxPro Format File</v>
      </c>
      <c r="C21" t="s">
        <v>234</v>
      </c>
      <c r="D21" s="1">
        <f t="shared" si="2"/>
        <v>0</v>
      </c>
      <c r="E21" s="1">
        <f t="shared" si="3"/>
        <v>0</v>
      </c>
      <c r="F21" s="1">
        <f t="shared" si="4"/>
        <v>0</v>
      </c>
      <c r="H21" s="1">
        <f t="shared" si="5"/>
        <v>0</v>
      </c>
      <c r="I21" s="1">
        <f t="shared" si="6"/>
        <v>0</v>
      </c>
      <c r="J21" s="1">
        <f t="shared" si="7"/>
        <v>0</v>
      </c>
      <c r="K21" s="1">
        <f t="shared" si="8"/>
        <v>0</v>
      </c>
      <c r="L21" s="1">
        <f t="shared" si="9"/>
        <v>0</v>
      </c>
      <c r="M21" s="1">
        <f t="shared" si="10"/>
        <v>0</v>
      </c>
      <c r="N21" s="1">
        <f t="shared" si="11"/>
        <v>0</v>
      </c>
      <c r="P21">
        <f t="shared" si="12"/>
        <v>0</v>
      </c>
      <c r="Q21" s="1">
        <f t="shared" si="13"/>
        <v>0</v>
      </c>
      <c r="R21">
        <f t="shared" si="14"/>
        <v>0</v>
      </c>
      <c r="S21">
        <f t="shared" si="15"/>
        <v>0</v>
      </c>
      <c r="T21">
        <f t="shared" si="16"/>
        <v>0</v>
      </c>
      <c r="U21">
        <f t="shared" si="17"/>
        <v>0</v>
      </c>
      <c r="V21">
        <f t="shared" si="18"/>
        <v>0</v>
      </c>
      <c r="W21">
        <f t="shared" si="19"/>
        <v>0</v>
      </c>
      <c r="X21">
        <f t="shared" si="20"/>
        <v>0</v>
      </c>
      <c r="Y21">
        <f t="shared" si="21"/>
        <v>0</v>
      </c>
      <c r="Z21">
        <f t="shared" si="22"/>
        <v>0</v>
      </c>
    </row>
    <row r="22" spans="1:26" x14ac:dyDescent="0.25">
      <c r="A22" t="str">
        <f t="shared" si="0"/>
        <v>Application</v>
      </c>
      <c r="B22" t="str">
        <f t="shared" si="1"/>
        <v>C Header File</v>
      </c>
      <c r="C22" t="s">
        <v>417</v>
      </c>
      <c r="D22" s="1">
        <f t="shared" si="2"/>
        <v>0</v>
      </c>
      <c r="E22" s="1">
        <f t="shared" si="3"/>
        <v>0</v>
      </c>
      <c r="F22" s="1">
        <f t="shared" si="4"/>
        <v>0</v>
      </c>
      <c r="H22" s="1">
        <f t="shared" si="5"/>
        <v>0</v>
      </c>
      <c r="I22" s="1">
        <f t="shared" si="6"/>
        <v>0</v>
      </c>
      <c r="J22" s="1">
        <f t="shared" si="7"/>
        <v>0</v>
      </c>
      <c r="K22" s="1">
        <f t="shared" si="8"/>
        <v>0</v>
      </c>
      <c r="L22" s="1">
        <f t="shared" si="9"/>
        <v>0</v>
      </c>
      <c r="M22" s="1">
        <f t="shared" si="10"/>
        <v>0</v>
      </c>
      <c r="N22" s="1">
        <f t="shared" si="11"/>
        <v>0</v>
      </c>
      <c r="P22">
        <f t="shared" si="12"/>
        <v>0</v>
      </c>
      <c r="Q22" s="1">
        <f t="shared" si="13"/>
        <v>0</v>
      </c>
      <c r="R22">
        <f t="shared" si="14"/>
        <v>0</v>
      </c>
      <c r="S22">
        <f t="shared" si="15"/>
        <v>0</v>
      </c>
      <c r="T22">
        <f t="shared" si="16"/>
        <v>0</v>
      </c>
      <c r="U22">
        <f t="shared" si="17"/>
        <v>0</v>
      </c>
      <c r="V22">
        <f t="shared" si="18"/>
        <v>0</v>
      </c>
      <c r="W22">
        <f t="shared" si="19"/>
        <v>0</v>
      </c>
      <c r="X22">
        <f t="shared" si="20"/>
        <v>0</v>
      </c>
      <c r="Y22">
        <f t="shared" si="21"/>
        <v>0</v>
      </c>
      <c r="Z22">
        <f t="shared" si="22"/>
        <v>0</v>
      </c>
    </row>
    <row r="23" spans="1:26" x14ac:dyDescent="0.25">
      <c r="A23" t="str">
        <f t="shared" si="0"/>
        <v>Application</v>
      </c>
      <c r="B23" t="str">
        <f t="shared" si="1"/>
        <v>Application Log</v>
      </c>
      <c r="C23" t="s">
        <v>210</v>
      </c>
      <c r="D23" s="1">
        <f t="shared" si="2"/>
        <v>0</v>
      </c>
      <c r="E23" s="1">
        <f t="shared" si="3"/>
        <v>0</v>
      </c>
      <c r="F23" s="1">
        <f t="shared" si="4"/>
        <v>0</v>
      </c>
      <c r="H23" s="1">
        <f t="shared" si="5"/>
        <v>0</v>
      </c>
      <c r="I23" s="1">
        <f t="shared" si="6"/>
        <v>0</v>
      </c>
      <c r="J23" s="1">
        <f t="shared" si="7"/>
        <v>0</v>
      </c>
      <c r="K23" s="1">
        <f t="shared" si="8"/>
        <v>0</v>
      </c>
      <c r="L23" s="1">
        <f t="shared" si="9"/>
        <v>0</v>
      </c>
      <c r="M23" s="1">
        <f t="shared" si="10"/>
        <v>0</v>
      </c>
      <c r="N23" s="1">
        <f t="shared" si="11"/>
        <v>0</v>
      </c>
      <c r="P23">
        <f t="shared" si="12"/>
        <v>0</v>
      </c>
      <c r="Q23" s="1">
        <f t="shared" si="13"/>
        <v>0</v>
      </c>
      <c r="R23">
        <f t="shared" si="14"/>
        <v>0</v>
      </c>
      <c r="S23">
        <f t="shared" si="15"/>
        <v>0</v>
      </c>
      <c r="T23">
        <f t="shared" si="16"/>
        <v>0</v>
      </c>
      <c r="U23">
        <f t="shared" si="17"/>
        <v>0</v>
      </c>
      <c r="V23">
        <f t="shared" si="18"/>
        <v>0</v>
      </c>
      <c r="W23">
        <f t="shared" si="19"/>
        <v>0</v>
      </c>
      <c r="X23">
        <f t="shared" si="20"/>
        <v>0</v>
      </c>
      <c r="Y23">
        <f t="shared" si="21"/>
        <v>0</v>
      </c>
      <c r="Z23">
        <f t="shared" si="22"/>
        <v>0</v>
      </c>
    </row>
    <row r="24" spans="1:26" x14ac:dyDescent="0.25">
      <c r="A24" t="str">
        <f t="shared" si="0"/>
        <v>Application</v>
      </c>
      <c r="B24" t="str">
        <f t="shared" si="1"/>
        <v xml:space="preserve">System File </v>
      </c>
      <c r="C24" t="s">
        <v>230</v>
      </c>
      <c r="D24" s="1">
        <f t="shared" si="2"/>
        <v>0</v>
      </c>
      <c r="E24" s="1">
        <f t="shared" si="3"/>
        <v>0</v>
      </c>
      <c r="F24" s="1">
        <f t="shared" si="4"/>
        <v>0</v>
      </c>
      <c r="H24" s="1">
        <f t="shared" si="5"/>
        <v>0</v>
      </c>
      <c r="I24" s="1">
        <f t="shared" si="6"/>
        <v>0</v>
      </c>
      <c r="J24" s="1">
        <f t="shared" si="7"/>
        <v>0</v>
      </c>
      <c r="K24" s="1">
        <f t="shared" si="8"/>
        <v>0</v>
      </c>
      <c r="L24" s="1">
        <f t="shared" si="9"/>
        <v>0</v>
      </c>
      <c r="M24" s="1">
        <f t="shared" si="10"/>
        <v>0</v>
      </c>
      <c r="N24" s="1">
        <f t="shared" si="11"/>
        <v>0</v>
      </c>
      <c r="P24">
        <f t="shared" si="12"/>
        <v>0</v>
      </c>
      <c r="Q24" s="1">
        <f t="shared" si="13"/>
        <v>0</v>
      </c>
      <c r="R24">
        <f t="shared" si="14"/>
        <v>0</v>
      </c>
      <c r="S24">
        <f t="shared" si="15"/>
        <v>0</v>
      </c>
      <c r="T24">
        <f t="shared" si="16"/>
        <v>0</v>
      </c>
      <c r="U24">
        <f t="shared" si="17"/>
        <v>0</v>
      </c>
      <c r="V24">
        <f t="shared" si="18"/>
        <v>0</v>
      </c>
      <c r="W24">
        <f t="shared" si="19"/>
        <v>0</v>
      </c>
      <c r="X24">
        <f t="shared" si="20"/>
        <v>0</v>
      </c>
      <c r="Y24">
        <f t="shared" si="21"/>
        <v>0</v>
      </c>
      <c r="Z24">
        <f t="shared" si="22"/>
        <v>0</v>
      </c>
    </row>
    <row r="25" spans="1:26" x14ac:dyDescent="0.25">
      <c r="A25" t="str">
        <f t="shared" si="0"/>
        <v>Application</v>
      </c>
      <c r="B25" t="str">
        <f t="shared" si="1"/>
        <v>Config File</v>
      </c>
      <c r="C25" t="s">
        <v>168</v>
      </c>
      <c r="D25" s="1">
        <f t="shared" si="2"/>
        <v>0</v>
      </c>
      <c r="E25" s="1">
        <f t="shared" si="3"/>
        <v>0</v>
      </c>
      <c r="F25" s="1">
        <f t="shared" si="4"/>
        <v>0</v>
      </c>
      <c r="H25" s="1">
        <f t="shared" si="5"/>
        <v>0</v>
      </c>
      <c r="I25" s="1">
        <f t="shared" si="6"/>
        <v>0</v>
      </c>
      <c r="J25" s="1">
        <f t="shared" si="7"/>
        <v>0</v>
      </c>
      <c r="K25" s="1">
        <f t="shared" si="8"/>
        <v>0</v>
      </c>
      <c r="L25" s="1">
        <f t="shared" si="9"/>
        <v>0</v>
      </c>
      <c r="M25" s="1">
        <f t="shared" si="10"/>
        <v>0</v>
      </c>
      <c r="N25" s="1">
        <f t="shared" si="11"/>
        <v>0</v>
      </c>
      <c r="P25">
        <f t="shared" si="12"/>
        <v>0</v>
      </c>
      <c r="Q25" s="1">
        <f t="shared" si="13"/>
        <v>0</v>
      </c>
      <c r="R25">
        <f t="shared" si="14"/>
        <v>0</v>
      </c>
      <c r="S25">
        <f t="shared" si="15"/>
        <v>0</v>
      </c>
      <c r="T25">
        <f t="shared" si="16"/>
        <v>0</v>
      </c>
      <c r="U25">
        <f t="shared" si="17"/>
        <v>0</v>
      </c>
      <c r="V25">
        <f t="shared" si="18"/>
        <v>0</v>
      </c>
      <c r="W25">
        <f t="shared" si="19"/>
        <v>0</v>
      </c>
      <c r="X25">
        <f t="shared" si="20"/>
        <v>0</v>
      </c>
      <c r="Y25">
        <f t="shared" si="21"/>
        <v>0</v>
      </c>
      <c r="Z25">
        <f t="shared" si="22"/>
        <v>0</v>
      </c>
    </row>
    <row r="26" spans="1:26" x14ac:dyDescent="0.25">
      <c r="A26" t="str">
        <f t="shared" si="0"/>
        <v>Application</v>
      </c>
      <c r="B26" t="str">
        <f t="shared" si="1"/>
        <v>Various applications</v>
      </c>
      <c r="C26" t="s">
        <v>238</v>
      </c>
      <c r="D26" s="1">
        <f t="shared" si="2"/>
        <v>0</v>
      </c>
      <c r="E26" s="1">
        <f t="shared" si="3"/>
        <v>0</v>
      </c>
      <c r="F26" s="1">
        <f t="shared" si="4"/>
        <v>0</v>
      </c>
      <c r="H26" s="1">
        <f t="shared" si="5"/>
        <v>0</v>
      </c>
      <c r="I26" s="1">
        <f t="shared" si="6"/>
        <v>0</v>
      </c>
      <c r="J26" s="1">
        <f t="shared" si="7"/>
        <v>0</v>
      </c>
      <c r="K26" s="1">
        <f t="shared" si="8"/>
        <v>0</v>
      </c>
      <c r="L26" s="1">
        <f t="shared" si="9"/>
        <v>0</v>
      </c>
      <c r="M26" s="1">
        <f t="shared" si="10"/>
        <v>0</v>
      </c>
      <c r="N26" s="1">
        <f t="shared" si="11"/>
        <v>0</v>
      </c>
      <c r="P26">
        <f t="shared" si="12"/>
        <v>0</v>
      </c>
      <c r="Q26" s="1">
        <f t="shared" si="13"/>
        <v>0</v>
      </c>
      <c r="R26">
        <f t="shared" si="14"/>
        <v>0</v>
      </c>
      <c r="S26">
        <f t="shared" si="15"/>
        <v>0</v>
      </c>
      <c r="T26">
        <f t="shared" si="16"/>
        <v>0</v>
      </c>
      <c r="U26">
        <f t="shared" si="17"/>
        <v>0</v>
      </c>
      <c r="V26">
        <f t="shared" si="18"/>
        <v>0</v>
      </c>
      <c r="W26">
        <f t="shared" si="19"/>
        <v>0</v>
      </c>
      <c r="X26">
        <f t="shared" si="20"/>
        <v>0</v>
      </c>
      <c r="Y26">
        <f t="shared" si="21"/>
        <v>0</v>
      </c>
      <c r="Z26">
        <f t="shared" si="22"/>
        <v>0</v>
      </c>
    </row>
    <row r="27" spans="1:26" x14ac:dyDescent="0.25">
      <c r="A27" t="str">
        <f t="shared" si="0"/>
        <v>Application</v>
      </c>
      <c r="B27" t="str">
        <f t="shared" si="1"/>
        <v>Java</v>
      </c>
      <c r="C27" t="s">
        <v>311</v>
      </c>
      <c r="D27" s="1">
        <f t="shared" si="2"/>
        <v>0</v>
      </c>
      <c r="E27" s="1">
        <f t="shared" si="3"/>
        <v>0</v>
      </c>
      <c r="F27" s="1">
        <f t="shared" si="4"/>
        <v>0</v>
      </c>
      <c r="H27" s="1">
        <f t="shared" si="5"/>
        <v>0</v>
      </c>
      <c r="I27" s="1">
        <f t="shared" si="6"/>
        <v>0</v>
      </c>
      <c r="J27" s="1">
        <f t="shared" si="7"/>
        <v>0</v>
      </c>
      <c r="K27" s="1">
        <f t="shared" si="8"/>
        <v>0</v>
      </c>
      <c r="L27" s="1">
        <f t="shared" si="9"/>
        <v>0</v>
      </c>
      <c r="M27" s="1">
        <f t="shared" si="10"/>
        <v>0</v>
      </c>
      <c r="N27" s="1">
        <f t="shared" si="11"/>
        <v>0</v>
      </c>
      <c r="P27">
        <f t="shared" si="12"/>
        <v>0</v>
      </c>
      <c r="Q27" s="1">
        <f t="shared" si="13"/>
        <v>0</v>
      </c>
      <c r="R27">
        <f t="shared" si="14"/>
        <v>0</v>
      </c>
      <c r="S27">
        <f t="shared" si="15"/>
        <v>0</v>
      </c>
      <c r="T27">
        <f t="shared" si="16"/>
        <v>0</v>
      </c>
      <c r="U27">
        <f t="shared" si="17"/>
        <v>0</v>
      </c>
      <c r="V27">
        <f t="shared" si="18"/>
        <v>0</v>
      </c>
      <c r="W27">
        <f t="shared" si="19"/>
        <v>0</v>
      </c>
      <c r="X27">
        <f t="shared" si="20"/>
        <v>0</v>
      </c>
      <c r="Y27">
        <f t="shared" si="21"/>
        <v>0</v>
      </c>
      <c r="Z27">
        <f t="shared" si="22"/>
        <v>0</v>
      </c>
    </row>
    <row r="28" spans="1:26" x14ac:dyDescent="0.25">
      <c r="A28" t="str">
        <f t="shared" si="0"/>
        <v>Application</v>
      </c>
      <c r="B28" t="str">
        <f t="shared" si="1"/>
        <v>Access Lock File</v>
      </c>
      <c r="C28" t="s">
        <v>163</v>
      </c>
      <c r="D28" s="1">
        <f t="shared" si="2"/>
        <v>0</v>
      </c>
      <c r="E28" s="1">
        <f t="shared" si="3"/>
        <v>0</v>
      </c>
      <c r="F28" s="1">
        <f t="shared" si="4"/>
        <v>0</v>
      </c>
      <c r="H28" s="1">
        <f t="shared" si="5"/>
        <v>0</v>
      </c>
      <c r="I28" s="1">
        <f t="shared" si="6"/>
        <v>0</v>
      </c>
      <c r="J28" s="1">
        <f t="shared" si="7"/>
        <v>0</v>
      </c>
      <c r="K28" s="1">
        <f t="shared" si="8"/>
        <v>0</v>
      </c>
      <c r="L28" s="1">
        <f t="shared" si="9"/>
        <v>0</v>
      </c>
      <c r="M28" s="1">
        <f t="shared" si="10"/>
        <v>0</v>
      </c>
      <c r="N28" s="1">
        <f t="shared" si="11"/>
        <v>0</v>
      </c>
      <c r="P28">
        <f t="shared" si="12"/>
        <v>0</v>
      </c>
      <c r="Q28" s="1">
        <f t="shared" si="13"/>
        <v>0</v>
      </c>
      <c r="R28">
        <f t="shared" si="14"/>
        <v>0</v>
      </c>
      <c r="S28">
        <f t="shared" si="15"/>
        <v>0</v>
      </c>
      <c r="T28">
        <f t="shared" si="16"/>
        <v>0</v>
      </c>
      <c r="U28">
        <f t="shared" si="17"/>
        <v>0</v>
      </c>
      <c r="V28">
        <f t="shared" si="18"/>
        <v>0</v>
      </c>
      <c r="W28">
        <f t="shared" si="19"/>
        <v>0</v>
      </c>
      <c r="X28">
        <f t="shared" si="20"/>
        <v>0</v>
      </c>
      <c r="Y28">
        <f t="shared" si="21"/>
        <v>0</v>
      </c>
      <c r="Z28">
        <f t="shared" si="22"/>
        <v>0</v>
      </c>
    </row>
    <row r="29" spans="1:26" x14ac:dyDescent="0.25">
      <c r="A29" t="str">
        <f t="shared" si="0"/>
        <v>Application</v>
      </c>
      <c r="B29" t="str">
        <f t="shared" si="1"/>
        <v>Windows Shortcut</v>
      </c>
      <c r="C29" t="s">
        <v>151</v>
      </c>
      <c r="D29" s="1">
        <f t="shared" si="2"/>
        <v>0</v>
      </c>
      <c r="E29" s="1">
        <f t="shared" si="3"/>
        <v>0</v>
      </c>
      <c r="F29" s="1">
        <f t="shared" si="4"/>
        <v>0</v>
      </c>
      <c r="H29" s="1">
        <f t="shared" si="5"/>
        <v>0</v>
      </c>
      <c r="I29" s="1">
        <f t="shared" si="6"/>
        <v>0</v>
      </c>
      <c r="J29" s="1">
        <f t="shared" si="7"/>
        <v>0</v>
      </c>
      <c r="K29" s="1">
        <f t="shared" si="8"/>
        <v>0</v>
      </c>
      <c r="L29" s="1">
        <f t="shared" si="9"/>
        <v>0</v>
      </c>
      <c r="M29" s="1">
        <f t="shared" si="10"/>
        <v>0</v>
      </c>
      <c r="N29" s="1">
        <f t="shared" si="11"/>
        <v>0</v>
      </c>
      <c r="P29">
        <f t="shared" si="12"/>
        <v>0</v>
      </c>
      <c r="Q29" s="1">
        <f t="shared" si="13"/>
        <v>0</v>
      </c>
      <c r="R29">
        <f t="shared" si="14"/>
        <v>0</v>
      </c>
      <c r="S29">
        <f t="shared" si="15"/>
        <v>0</v>
      </c>
      <c r="T29">
        <f t="shared" si="16"/>
        <v>0</v>
      </c>
      <c r="U29">
        <f t="shared" si="17"/>
        <v>0</v>
      </c>
      <c r="V29">
        <f t="shared" si="18"/>
        <v>0</v>
      </c>
      <c r="W29">
        <f t="shared" si="19"/>
        <v>0</v>
      </c>
      <c r="X29">
        <f t="shared" si="20"/>
        <v>0</v>
      </c>
      <c r="Y29">
        <f t="shared" si="21"/>
        <v>0</v>
      </c>
      <c r="Z29">
        <f t="shared" si="22"/>
        <v>0</v>
      </c>
    </row>
    <row r="30" spans="1:26" x14ac:dyDescent="0.25">
      <c r="A30" t="str">
        <f t="shared" si="0"/>
        <v>Application</v>
      </c>
      <c r="B30" t="str">
        <f t="shared" si="1"/>
        <v>Application Log</v>
      </c>
      <c r="C30" t="s">
        <v>305</v>
      </c>
      <c r="D30" s="1">
        <f t="shared" si="2"/>
        <v>0</v>
      </c>
      <c r="E30" s="1">
        <f t="shared" si="3"/>
        <v>0</v>
      </c>
      <c r="F30" s="1">
        <f t="shared" si="4"/>
        <v>0</v>
      </c>
      <c r="H30" s="1">
        <f t="shared" si="5"/>
        <v>0</v>
      </c>
      <c r="I30" s="1">
        <f t="shared" si="6"/>
        <v>0</v>
      </c>
      <c r="J30" s="1">
        <f t="shared" si="7"/>
        <v>0</v>
      </c>
      <c r="K30" s="1">
        <f t="shared" si="8"/>
        <v>0</v>
      </c>
      <c r="L30" s="1">
        <f t="shared" si="9"/>
        <v>0</v>
      </c>
      <c r="M30" s="1">
        <f t="shared" si="10"/>
        <v>0</v>
      </c>
      <c r="N30" s="1">
        <f t="shared" si="11"/>
        <v>0</v>
      </c>
      <c r="P30">
        <f t="shared" si="12"/>
        <v>0</v>
      </c>
      <c r="Q30" s="1">
        <f t="shared" si="13"/>
        <v>0</v>
      </c>
      <c r="R30">
        <f t="shared" si="14"/>
        <v>0</v>
      </c>
      <c r="S30">
        <f t="shared" si="15"/>
        <v>0</v>
      </c>
      <c r="T30">
        <f t="shared" si="16"/>
        <v>0</v>
      </c>
      <c r="U30">
        <f t="shared" si="17"/>
        <v>0</v>
      </c>
      <c r="V30">
        <f t="shared" si="18"/>
        <v>0</v>
      </c>
      <c r="W30">
        <f t="shared" si="19"/>
        <v>0</v>
      </c>
      <c r="X30">
        <f t="shared" si="20"/>
        <v>0</v>
      </c>
      <c r="Y30">
        <f t="shared" si="21"/>
        <v>0</v>
      </c>
      <c r="Z30">
        <f t="shared" si="22"/>
        <v>0</v>
      </c>
    </row>
    <row r="31" spans="1:26" x14ac:dyDescent="0.25">
      <c r="A31" t="str">
        <f t="shared" si="0"/>
        <v>Application</v>
      </c>
      <c r="B31" t="str">
        <f t="shared" si="1"/>
        <v>Epson Printer Data</v>
      </c>
      <c r="C31" t="s">
        <v>265</v>
      </c>
      <c r="D31" s="1">
        <f t="shared" si="2"/>
        <v>0</v>
      </c>
      <c r="E31" s="1">
        <f t="shared" si="3"/>
        <v>0</v>
      </c>
      <c r="F31" s="1">
        <f t="shared" si="4"/>
        <v>0</v>
      </c>
      <c r="H31" s="1">
        <f t="shared" si="5"/>
        <v>0</v>
      </c>
      <c r="I31" s="1">
        <f t="shared" si="6"/>
        <v>0</v>
      </c>
      <c r="J31" s="1">
        <f t="shared" si="7"/>
        <v>0</v>
      </c>
      <c r="K31" s="1">
        <f t="shared" si="8"/>
        <v>0</v>
      </c>
      <c r="L31" s="1">
        <f t="shared" si="9"/>
        <v>0</v>
      </c>
      <c r="M31" s="1">
        <f t="shared" si="10"/>
        <v>0</v>
      </c>
      <c r="N31" s="1">
        <f t="shared" si="11"/>
        <v>0</v>
      </c>
      <c r="P31">
        <f t="shared" si="12"/>
        <v>0</v>
      </c>
      <c r="Q31" s="1">
        <f t="shared" si="13"/>
        <v>0</v>
      </c>
      <c r="R31">
        <f t="shared" si="14"/>
        <v>0</v>
      </c>
      <c r="S31">
        <f t="shared" si="15"/>
        <v>0</v>
      </c>
      <c r="T31">
        <f t="shared" si="16"/>
        <v>0</v>
      </c>
      <c r="U31">
        <f t="shared" si="17"/>
        <v>0</v>
      </c>
      <c r="V31">
        <f t="shared" si="18"/>
        <v>0</v>
      </c>
      <c r="W31">
        <f t="shared" si="19"/>
        <v>0</v>
      </c>
      <c r="X31">
        <f t="shared" si="20"/>
        <v>0</v>
      </c>
      <c r="Y31">
        <f t="shared" si="21"/>
        <v>0</v>
      </c>
      <c r="Z31">
        <f t="shared" si="22"/>
        <v>0</v>
      </c>
    </row>
    <row r="32" spans="1:26" x14ac:dyDescent="0.25">
      <c r="A32" t="str">
        <f t="shared" si="0"/>
        <v>Application</v>
      </c>
      <c r="B32" t="str">
        <f t="shared" si="1"/>
        <v>Visual Studio Packaging Manifest</v>
      </c>
      <c r="C32" t="s">
        <v>218</v>
      </c>
      <c r="D32" s="1">
        <f t="shared" si="2"/>
        <v>0</v>
      </c>
      <c r="E32" s="1">
        <f t="shared" si="3"/>
        <v>0</v>
      </c>
      <c r="F32" s="1">
        <f t="shared" si="4"/>
        <v>0</v>
      </c>
      <c r="H32" s="1">
        <f t="shared" si="5"/>
        <v>0</v>
      </c>
      <c r="I32" s="1">
        <f t="shared" si="6"/>
        <v>0</v>
      </c>
      <c r="J32" s="1">
        <f t="shared" si="7"/>
        <v>0</v>
      </c>
      <c r="K32" s="1">
        <f t="shared" si="8"/>
        <v>0</v>
      </c>
      <c r="L32" s="1">
        <f t="shared" si="9"/>
        <v>0</v>
      </c>
      <c r="M32" s="1">
        <f t="shared" si="10"/>
        <v>0</v>
      </c>
      <c r="N32" s="1">
        <f t="shared" si="11"/>
        <v>0</v>
      </c>
      <c r="P32">
        <f t="shared" si="12"/>
        <v>0</v>
      </c>
      <c r="Q32" s="1">
        <f t="shared" si="13"/>
        <v>0</v>
      </c>
      <c r="R32">
        <f t="shared" si="14"/>
        <v>0</v>
      </c>
      <c r="S32">
        <f t="shared" si="15"/>
        <v>0</v>
      </c>
      <c r="T32">
        <f t="shared" si="16"/>
        <v>0</v>
      </c>
      <c r="U32">
        <f t="shared" si="17"/>
        <v>0</v>
      </c>
      <c r="V32">
        <f t="shared" si="18"/>
        <v>0</v>
      </c>
      <c r="W32">
        <f t="shared" si="19"/>
        <v>0</v>
      </c>
      <c r="X32">
        <f t="shared" si="20"/>
        <v>0</v>
      </c>
      <c r="Y32">
        <f t="shared" si="21"/>
        <v>0</v>
      </c>
      <c r="Z32">
        <f t="shared" si="22"/>
        <v>0</v>
      </c>
    </row>
    <row r="33" spans="1:26" x14ac:dyDescent="0.25">
      <c r="A33" t="str">
        <f t="shared" si="0"/>
        <v>Application</v>
      </c>
      <c r="B33" t="str">
        <f t="shared" si="1"/>
        <v>Installation Package</v>
      </c>
      <c r="C33" t="s">
        <v>307</v>
      </c>
      <c r="D33" s="1">
        <f t="shared" si="2"/>
        <v>0</v>
      </c>
      <c r="E33" s="1">
        <f t="shared" si="3"/>
        <v>0</v>
      </c>
      <c r="F33" s="1">
        <f t="shared" si="4"/>
        <v>0</v>
      </c>
      <c r="H33" s="1">
        <f t="shared" si="5"/>
        <v>0</v>
      </c>
      <c r="I33" s="1">
        <f t="shared" si="6"/>
        <v>0</v>
      </c>
      <c r="J33" s="1">
        <f t="shared" si="7"/>
        <v>0</v>
      </c>
      <c r="K33" s="1">
        <f t="shared" si="8"/>
        <v>0</v>
      </c>
      <c r="L33" s="1">
        <f t="shared" si="9"/>
        <v>0</v>
      </c>
      <c r="M33" s="1">
        <f t="shared" si="10"/>
        <v>0</v>
      </c>
      <c r="N33" s="1">
        <f t="shared" si="11"/>
        <v>0</v>
      </c>
      <c r="P33">
        <f t="shared" si="12"/>
        <v>0</v>
      </c>
      <c r="Q33" s="1">
        <f t="shared" si="13"/>
        <v>0</v>
      </c>
      <c r="R33">
        <f t="shared" si="14"/>
        <v>0</v>
      </c>
      <c r="S33">
        <f t="shared" si="15"/>
        <v>0</v>
      </c>
      <c r="T33">
        <f t="shared" si="16"/>
        <v>0</v>
      </c>
      <c r="U33">
        <f t="shared" si="17"/>
        <v>0</v>
      </c>
      <c r="V33">
        <f t="shared" si="18"/>
        <v>0</v>
      </c>
      <c r="W33">
        <f t="shared" si="19"/>
        <v>0</v>
      </c>
      <c r="X33">
        <f t="shared" si="20"/>
        <v>0</v>
      </c>
      <c r="Y33">
        <f t="shared" si="21"/>
        <v>0</v>
      </c>
      <c r="Z33">
        <f t="shared" si="22"/>
        <v>0</v>
      </c>
    </row>
    <row r="34" spans="1:26" x14ac:dyDescent="0.25">
      <c r="A34" t="str">
        <f t="shared" si="0"/>
        <v>Application</v>
      </c>
      <c r="B34" t="str">
        <f t="shared" si="1"/>
        <v>Overlay (WordStar, dBase)</v>
      </c>
      <c r="C34" t="s">
        <v>428</v>
      </c>
      <c r="D34" s="1">
        <f t="shared" si="2"/>
        <v>0</v>
      </c>
      <c r="E34" s="1">
        <f t="shared" si="3"/>
        <v>0</v>
      </c>
      <c r="F34" s="1">
        <f t="shared" si="4"/>
        <v>0</v>
      </c>
      <c r="H34" s="1">
        <f t="shared" si="5"/>
        <v>0</v>
      </c>
      <c r="I34" s="1">
        <f t="shared" si="6"/>
        <v>0</v>
      </c>
      <c r="J34" s="1">
        <f t="shared" si="7"/>
        <v>0</v>
      </c>
      <c r="K34" s="1">
        <f t="shared" si="8"/>
        <v>0</v>
      </c>
      <c r="L34" s="1">
        <f t="shared" si="9"/>
        <v>0</v>
      </c>
      <c r="M34" s="1">
        <f t="shared" si="10"/>
        <v>0</v>
      </c>
      <c r="N34" s="1">
        <f t="shared" si="11"/>
        <v>0</v>
      </c>
      <c r="P34">
        <f t="shared" si="12"/>
        <v>0</v>
      </c>
      <c r="Q34" s="1">
        <f t="shared" si="13"/>
        <v>0</v>
      </c>
      <c r="R34">
        <f t="shared" si="14"/>
        <v>0</v>
      </c>
      <c r="S34">
        <f t="shared" si="15"/>
        <v>0</v>
      </c>
      <c r="T34">
        <f t="shared" si="16"/>
        <v>0</v>
      </c>
      <c r="U34">
        <f t="shared" si="17"/>
        <v>0</v>
      </c>
      <c r="V34">
        <f t="shared" si="18"/>
        <v>0</v>
      </c>
      <c r="W34">
        <f t="shared" si="19"/>
        <v>0</v>
      </c>
      <c r="X34">
        <f t="shared" si="20"/>
        <v>0</v>
      </c>
      <c r="Y34">
        <f t="shared" ref="Y34:Y69" si="23">COUNTIFS(Exts,C34,Age,"&gt;=15")</f>
        <v>0</v>
      </c>
      <c r="Z34">
        <f t="shared" ref="Z34:Z69" si="24">COUNTIFS(Exts,C34,Age,"&gt;=20")</f>
        <v>0</v>
      </c>
    </row>
    <row r="35" spans="1:26" x14ac:dyDescent="0.25">
      <c r="A35" t="str">
        <f t="shared" si="0"/>
        <v>Application</v>
      </c>
      <c r="B35" t="str">
        <f t="shared" si="1"/>
        <v>PHP</v>
      </c>
      <c r="C35" t="s">
        <v>245</v>
      </c>
      <c r="D35" s="1">
        <f t="shared" si="2"/>
        <v>0</v>
      </c>
      <c r="E35" s="1">
        <f t="shared" si="3"/>
        <v>0</v>
      </c>
      <c r="F35" s="1">
        <f t="shared" si="4"/>
        <v>0</v>
      </c>
      <c r="H35" s="1">
        <f t="shared" si="5"/>
        <v>0</v>
      </c>
      <c r="I35" s="1">
        <f t="shared" si="6"/>
        <v>0</v>
      </c>
      <c r="J35" s="1">
        <f t="shared" si="7"/>
        <v>0</v>
      </c>
      <c r="K35" s="1">
        <f t="shared" si="8"/>
        <v>0</v>
      </c>
      <c r="L35" s="1">
        <f t="shared" si="9"/>
        <v>0</v>
      </c>
      <c r="M35" s="1">
        <f t="shared" si="10"/>
        <v>0</v>
      </c>
      <c r="N35" s="1">
        <f t="shared" si="11"/>
        <v>0</v>
      </c>
      <c r="P35">
        <f t="shared" si="12"/>
        <v>0</v>
      </c>
      <c r="Q35" s="1">
        <f t="shared" si="13"/>
        <v>0</v>
      </c>
      <c r="R35">
        <f t="shared" si="14"/>
        <v>0</v>
      </c>
      <c r="S35">
        <f t="shared" si="15"/>
        <v>0</v>
      </c>
      <c r="T35">
        <f t="shared" si="16"/>
        <v>0</v>
      </c>
      <c r="U35">
        <f t="shared" si="17"/>
        <v>0</v>
      </c>
      <c r="V35">
        <f t="shared" si="18"/>
        <v>0</v>
      </c>
      <c r="W35">
        <f t="shared" si="19"/>
        <v>0</v>
      </c>
      <c r="X35">
        <f t="shared" si="20"/>
        <v>0</v>
      </c>
      <c r="Y35">
        <f t="shared" si="23"/>
        <v>0</v>
      </c>
      <c r="Z35">
        <f t="shared" si="24"/>
        <v>0</v>
      </c>
    </row>
    <row r="36" spans="1:26" x14ac:dyDescent="0.25">
      <c r="A36" t="str">
        <f t="shared" si="0"/>
        <v>Application</v>
      </c>
      <c r="B36" t="str">
        <f t="shared" si="1"/>
        <v>Perl Script</v>
      </c>
      <c r="C36" t="s">
        <v>308</v>
      </c>
      <c r="D36" s="1">
        <f t="shared" si="2"/>
        <v>0</v>
      </c>
      <c r="E36" s="1">
        <f t="shared" si="3"/>
        <v>0</v>
      </c>
      <c r="F36" s="1">
        <f t="shared" si="4"/>
        <v>0</v>
      </c>
      <c r="H36" s="1">
        <f t="shared" si="5"/>
        <v>0</v>
      </c>
      <c r="I36" s="1">
        <f t="shared" si="6"/>
        <v>0</v>
      </c>
      <c r="J36" s="1">
        <f t="shared" si="7"/>
        <v>0</v>
      </c>
      <c r="K36" s="1">
        <f t="shared" si="8"/>
        <v>0</v>
      </c>
      <c r="L36" s="1">
        <f t="shared" si="9"/>
        <v>0</v>
      </c>
      <c r="M36" s="1">
        <f t="shared" si="10"/>
        <v>0</v>
      </c>
      <c r="N36" s="1">
        <f t="shared" si="11"/>
        <v>0</v>
      </c>
      <c r="P36">
        <f t="shared" si="12"/>
        <v>0</v>
      </c>
      <c r="Q36" s="1">
        <f t="shared" si="13"/>
        <v>0</v>
      </c>
      <c r="R36">
        <f t="shared" si="14"/>
        <v>0</v>
      </c>
      <c r="S36">
        <f t="shared" si="15"/>
        <v>0</v>
      </c>
      <c r="T36">
        <f t="shared" si="16"/>
        <v>0</v>
      </c>
      <c r="U36">
        <f t="shared" si="17"/>
        <v>0</v>
      </c>
      <c r="V36">
        <f t="shared" si="18"/>
        <v>0</v>
      </c>
      <c r="W36">
        <f t="shared" si="19"/>
        <v>0</v>
      </c>
      <c r="X36">
        <f t="shared" si="20"/>
        <v>0</v>
      </c>
      <c r="Y36">
        <f t="shared" si="23"/>
        <v>0</v>
      </c>
      <c r="Z36">
        <f t="shared" si="24"/>
        <v>0</v>
      </c>
    </row>
    <row r="37" spans="1:26" x14ac:dyDescent="0.25">
      <c r="A37" t="str">
        <f t="shared" si="0"/>
        <v>Application</v>
      </c>
      <c r="B37" t="str">
        <f t="shared" si="1"/>
        <v>Rescue Me OS2/DOS File</v>
      </c>
      <c r="C37" t="s">
        <v>430</v>
      </c>
      <c r="D37" s="1">
        <f t="shared" si="2"/>
        <v>0</v>
      </c>
      <c r="E37" s="1">
        <f t="shared" si="3"/>
        <v>0</v>
      </c>
      <c r="F37" s="1">
        <f t="shared" si="4"/>
        <v>0</v>
      </c>
      <c r="H37" s="1">
        <f t="shared" si="5"/>
        <v>0</v>
      </c>
      <c r="I37" s="1">
        <f t="shared" si="6"/>
        <v>0</v>
      </c>
      <c r="J37" s="1">
        <f t="shared" si="7"/>
        <v>0</v>
      </c>
      <c r="K37" s="1">
        <f t="shared" si="8"/>
        <v>0</v>
      </c>
      <c r="L37" s="1">
        <f t="shared" si="9"/>
        <v>0</v>
      </c>
      <c r="M37" s="1">
        <f t="shared" si="10"/>
        <v>0</v>
      </c>
      <c r="N37" s="1">
        <f t="shared" si="11"/>
        <v>0</v>
      </c>
      <c r="P37">
        <f t="shared" si="12"/>
        <v>0</v>
      </c>
      <c r="Q37" s="1">
        <f t="shared" si="13"/>
        <v>0</v>
      </c>
      <c r="R37">
        <f t="shared" si="14"/>
        <v>0</v>
      </c>
      <c r="S37">
        <f t="shared" si="15"/>
        <v>0</v>
      </c>
      <c r="T37">
        <f t="shared" si="16"/>
        <v>0</v>
      </c>
      <c r="U37">
        <f t="shared" si="17"/>
        <v>0</v>
      </c>
      <c r="V37">
        <f t="shared" si="18"/>
        <v>0</v>
      </c>
      <c r="W37">
        <f t="shared" si="19"/>
        <v>0</v>
      </c>
      <c r="X37">
        <f t="shared" si="20"/>
        <v>0</v>
      </c>
      <c r="Y37">
        <f t="shared" si="23"/>
        <v>0</v>
      </c>
      <c r="Z37">
        <f t="shared" si="24"/>
        <v>0</v>
      </c>
    </row>
    <row r="38" spans="1:26" x14ac:dyDescent="0.25">
      <c r="A38" t="str">
        <f t="shared" si="0"/>
        <v>Application</v>
      </c>
      <c r="B38" t="str">
        <f t="shared" si="1"/>
        <v>IBM Property Files</v>
      </c>
      <c r="C38" t="s">
        <v>227</v>
      </c>
      <c r="D38" s="1">
        <f t="shared" si="2"/>
        <v>0</v>
      </c>
      <c r="E38" s="1">
        <f t="shared" si="3"/>
        <v>0</v>
      </c>
      <c r="F38" s="1">
        <f t="shared" si="4"/>
        <v>0</v>
      </c>
      <c r="H38" s="1">
        <f t="shared" si="5"/>
        <v>0</v>
      </c>
      <c r="I38" s="1">
        <f t="shared" si="6"/>
        <v>0</v>
      </c>
      <c r="J38" s="1">
        <f t="shared" si="7"/>
        <v>0</v>
      </c>
      <c r="K38" s="1">
        <f t="shared" si="8"/>
        <v>0</v>
      </c>
      <c r="L38" s="1">
        <f t="shared" si="9"/>
        <v>0</v>
      </c>
      <c r="M38" s="1">
        <f t="shared" si="10"/>
        <v>0</v>
      </c>
      <c r="N38" s="1">
        <f t="shared" si="11"/>
        <v>0</v>
      </c>
      <c r="P38">
        <f t="shared" si="12"/>
        <v>0</v>
      </c>
      <c r="Q38" s="1">
        <f t="shared" si="13"/>
        <v>0</v>
      </c>
      <c r="R38">
        <f t="shared" si="14"/>
        <v>0</v>
      </c>
      <c r="S38">
        <f t="shared" si="15"/>
        <v>0</v>
      </c>
      <c r="T38">
        <f t="shared" si="16"/>
        <v>0</v>
      </c>
      <c r="U38">
        <f t="shared" si="17"/>
        <v>0</v>
      </c>
      <c r="V38">
        <f t="shared" si="18"/>
        <v>0</v>
      </c>
      <c r="W38">
        <f t="shared" si="19"/>
        <v>0</v>
      </c>
      <c r="X38">
        <f t="shared" si="20"/>
        <v>0</v>
      </c>
      <c r="Y38">
        <f t="shared" si="23"/>
        <v>0</v>
      </c>
      <c r="Z38">
        <f t="shared" si="24"/>
        <v>0</v>
      </c>
    </row>
    <row r="39" spans="1:26" x14ac:dyDescent="0.25">
      <c r="A39" t="str">
        <f t="shared" si="0"/>
        <v>Application</v>
      </c>
      <c r="B39" t="str">
        <f t="shared" si="1"/>
        <v>Powershell</v>
      </c>
      <c r="C39" t="s">
        <v>306</v>
      </c>
      <c r="D39" s="1">
        <f t="shared" si="2"/>
        <v>0</v>
      </c>
      <c r="E39" s="1">
        <f t="shared" si="3"/>
        <v>0</v>
      </c>
      <c r="F39" s="1">
        <f t="shared" si="4"/>
        <v>0</v>
      </c>
      <c r="H39" s="1">
        <f t="shared" si="5"/>
        <v>0</v>
      </c>
      <c r="I39" s="1">
        <f t="shared" si="6"/>
        <v>0</v>
      </c>
      <c r="J39" s="1">
        <f t="shared" si="7"/>
        <v>0</v>
      </c>
      <c r="K39" s="1">
        <f t="shared" si="8"/>
        <v>0</v>
      </c>
      <c r="L39" s="1">
        <f t="shared" si="9"/>
        <v>0</v>
      </c>
      <c r="M39" s="1">
        <f t="shared" si="10"/>
        <v>0</v>
      </c>
      <c r="N39" s="1">
        <f t="shared" si="11"/>
        <v>0</v>
      </c>
      <c r="P39">
        <f t="shared" si="12"/>
        <v>0</v>
      </c>
      <c r="Q39" s="1">
        <f t="shared" si="13"/>
        <v>0</v>
      </c>
      <c r="R39">
        <f t="shared" si="14"/>
        <v>0</v>
      </c>
      <c r="S39">
        <f t="shared" si="15"/>
        <v>0</v>
      </c>
      <c r="T39">
        <f t="shared" si="16"/>
        <v>0</v>
      </c>
      <c r="U39">
        <f t="shared" si="17"/>
        <v>0</v>
      </c>
      <c r="V39">
        <f t="shared" si="18"/>
        <v>0</v>
      </c>
      <c r="W39">
        <f t="shared" si="19"/>
        <v>0</v>
      </c>
      <c r="X39">
        <f t="shared" si="20"/>
        <v>0</v>
      </c>
      <c r="Y39">
        <f t="shared" si="23"/>
        <v>0</v>
      </c>
      <c r="Z39">
        <f t="shared" si="24"/>
        <v>0</v>
      </c>
    </row>
    <row r="40" spans="1:26" x14ac:dyDescent="0.25">
      <c r="A40" t="str">
        <f t="shared" si="0"/>
        <v>Application</v>
      </c>
      <c r="B40" t="str">
        <f t="shared" si="1"/>
        <v>Python</v>
      </c>
      <c r="C40" t="s">
        <v>309</v>
      </c>
      <c r="D40" s="1">
        <f t="shared" si="2"/>
        <v>0</v>
      </c>
      <c r="E40" s="1">
        <f t="shared" si="3"/>
        <v>0</v>
      </c>
      <c r="F40" s="1">
        <f t="shared" si="4"/>
        <v>0</v>
      </c>
      <c r="H40" s="1">
        <f t="shared" si="5"/>
        <v>0</v>
      </c>
      <c r="I40" s="1">
        <f t="shared" si="6"/>
        <v>0</v>
      </c>
      <c r="J40" s="1">
        <f t="shared" si="7"/>
        <v>0</v>
      </c>
      <c r="K40" s="1">
        <f t="shared" si="8"/>
        <v>0</v>
      </c>
      <c r="L40" s="1">
        <f t="shared" si="9"/>
        <v>0</v>
      </c>
      <c r="M40" s="1">
        <f t="shared" si="10"/>
        <v>0</v>
      </c>
      <c r="N40" s="1">
        <f t="shared" si="11"/>
        <v>0</v>
      </c>
      <c r="P40">
        <f t="shared" si="12"/>
        <v>0</v>
      </c>
      <c r="Q40" s="1">
        <f t="shared" si="13"/>
        <v>0</v>
      </c>
      <c r="R40">
        <f t="shared" si="14"/>
        <v>0</v>
      </c>
      <c r="S40">
        <f t="shared" si="15"/>
        <v>0</v>
      </c>
      <c r="T40">
        <f t="shared" si="16"/>
        <v>0</v>
      </c>
      <c r="U40">
        <f t="shared" si="17"/>
        <v>0</v>
      </c>
      <c r="V40">
        <f t="shared" si="18"/>
        <v>0</v>
      </c>
      <c r="W40">
        <f t="shared" si="19"/>
        <v>0</v>
      </c>
      <c r="X40">
        <f t="shared" si="20"/>
        <v>0</v>
      </c>
      <c r="Y40">
        <f t="shared" si="23"/>
        <v>0</v>
      </c>
      <c r="Z40">
        <f t="shared" si="24"/>
        <v>0</v>
      </c>
    </row>
    <row r="41" spans="1:26" x14ac:dyDescent="0.25">
      <c r="A41" t="str">
        <f t="shared" si="0"/>
        <v>Application</v>
      </c>
      <c r="B41" t="str">
        <f t="shared" si="1"/>
        <v>.NET Resource File</v>
      </c>
      <c r="C41" t="s">
        <v>348</v>
      </c>
      <c r="D41" s="1">
        <f t="shared" si="2"/>
        <v>0</v>
      </c>
      <c r="E41" s="1">
        <f t="shared" si="3"/>
        <v>0</v>
      </c>
      <c r="F41" s="1">
        <f t="shared" si="4"/>
        <v>0</v>
      </c>
      <c r="H41" s="1">
        <f t="shared" si="5"/>
        <v>0</v>
      </c>
      <c r="I41" s="1">
        <f t="shared" si="6"/>
        <v>0</v>
      </c>
      <c r="J41" s="1">
        <f t="shared" si="7"/>
        <v>0</v>
      </c>
      <c r="K41" s="1">
        <f t="shared" si="8"/>
        <v>0</v>
      </c>
      <c r="L41" s="1">
        <f t="shared" si="9"/>
        <v>0</v>
      </c>
      <c r="M41" s="1">
        <f t="shared" si="10"/>
        <v>0</v>
      </c>
      <c r="N41" s="1">
        <f t="shared" si="11"/>
        <v>0</v>
      </c>
      <c r="P41">
        <f t="shared" si="12"/>
        <v>0</v>
      </c>
      <c r="Q41" s="1">
        <f t="shared" si="13"/>
        <v>0</v>
      </c>
      <c r="R41">
        <f t="shared" si="14"/>
        <v>0</v>
      </c>
      <c r="S41">
        <f t="shared" si="15"/>
        <v>0</v>
      </c>
      <c r="T41">
        <f t="shared" si="16"/>
        <v>0</v>
      </c>
      <c r="U41">
        <f t="shared" si="17"/>
        <v>0</v>
      </c>
      <c r="V41">
        <f t="shared" si="18"/>
        <v>0</v>
      </c>
      <c r="W41">
        <f t="shared" si="19"/>
        <v>0</v>
      </c>
      <c r="X41">
        <f t="shared" si="20"/>
        <v>0</v>
      </c>
      <c r="Y41">
        <f t="shared" si="23"/>
        <v>0</v>
      </c>
      <c r="Z41">
        <f t="shared" si="24"/>
        <v>0</v>
      </c>
    </row>
    <row r="42" spans="1:26" x14ac:dyDescent="0.25">
      <c r="A42" t="str">
        <f t="shared" si="0"/>
        <v>Application</v>
      </c>
      <c r="B42" t="str">
        <f t="shared" si="1"/>
        <v>.NET Resource File</v>
      </c>
      <c r="C42" t="s">
        <v>158</v>
      </c>
      <c r="D42" s="1">
        <f t="shared" si="2"/>
        <v>0</v>
      </c>
      <c r="E42" s="1">
        <f t="shared" si="3"/>
        <v>0</v>
      </c>
      <c r="F42" s="1">
        <f t="shared" si="4"/>
        <v>0</v>
      </c>
      <c r="H42" s="1">
        <f t="shared" si="5"/>
        <v>0</v>
      </c>
      <c r="I42" s="1">
        <f t="shared" si="6"/>
        <v>0</v>
      </c>
      <c r="J42" s="1">
        <f t="shared" si="7"/>
        <v>0</v>
      </c>
      <c r="K42" s="1">
        <f t="shared" si="8"/>
        <v>0</v>
      </c>
      <c r="L42" s="1">
        <f t="shared" si="9"/>
        <v>0</v>
      </c>
      <c r="M42" s="1">
        <f t="shared" si="10"/>
        <v>0</v>
      </c>
      <c r="N42" s="1">
        <f t="shared" si="11"/>
        <v>0</v>
      </c>
      <c r="P42">
        <f t="shared" si="12"/>
        <v>0</v>
      </c>
      <c r="Q42" s="1">
        <f t="shared" si="13"/>
        <v>0</v>
      </c>
      <c r="R42">
        <f t="shared" si="14"/>
        <v>0</v>
      </c>
      <c r="S42">
        <f t="shared" si="15"/>
        <v>0</v>
      </c>
      <c r="T42">
        <f t="shared" si="16"/>
        <v>0</v>
      </c>
      <c r="U42">
        <f t="shared" si="17"/>
        <v>0</v>
      </c>
      <c r="V42">
        <f t="shared" si="18"/>
        <v>0</v>
      </c>
      <c r="W42">
        <f t="shared" si="19"/>
        <v>0</v>
      </c>
      <c r="X42">
        <f t="shared" si="20"/>
        <v>0</v>
      </c>
      <c r="Y42">
        <f t="shared" si="23"/>
        <v>0</v>
      </c>
      <c r="Z42">
        <f t="shared" si="24"/>
        <v>0</v>
      </c>
    </row>
    <row r="43" spans="1:26" x14ac:dyDescent="0.25">
      <c r="A43" t="str">
        <f t="shared" si="0"/>
        <v>Application</v>
      </c>
      <c r="B43" t="str">
        <f t="shared" si="1"/>
        <v>Windows Shell Scrap Files (Word, Excel)</v>
      </c>
      <c r="C43" t="s">
        <v>203</v>
      </c>
      <c r="D43" s="1">
        <f t="shared" si="2"/>
        <v>0</v>
      </c>
      <c r="E43" s="1">
        <f t="shared" si="3"/>
        <v>0</v>
      </c>
      <c r="F43" s="1">
        <f t="shared" si="4"/>
        <v>0</v>
      </c>
      <c r="H43" s="1">
        <f t="shared" si="5"/>
        <v>0</v>
      </c>
      <c r="I43" s="1">
        <f t="shared" si="6"/>
        <v>0</v>
      </c>
      <c r="J43" s="1">
        <f t="shared" si="7"/>
        <v>0</v>
      </c>
      <c r="K43" s="1">
        <f t="shared" si="8"/>
        <v>0</v>
      </c>
      <c r="L43" s="1">
        <f t="shared" si="9"/>
        <v>0</v>
      </c>
      <c r="M43" s="1">
        <f t="shared" si="10"/>
        <v>0</v>
      </c>
      <c r="N43" s="1">
        <f t="shared" si="11"/>
        <v>0</v>
      </c>
      <c r="P43">
        <f t="shared" si="12"/>
        <v>0</v>
      </c>
      <c r="Q43" s="1">
        <f t="shared" si="13"/>
        <v>0</v>
      </c>
      <c r="R43">
        <f t="shared" si="14"/>
        <v>0</v>
      </c>
      <c r="S43">
        <f t="shared" si="15"/>
        <v>0</v>
      </c>
      <c r="T43">
        <f t="shared" si="16"/>
        <v>0</v>
      </c>
      <c r="U43">
        <f t="shared" si="17"/>
        <v>0</v>
      </c>
      <c r="V43">
        <f t="shared" si="18"/>
        <v>0</v>
      </c>
      <c r="W43">
        <f t="shared" si="19"/>
        <v>0</v>
      </c>
      <c r="X43">
        <f t="shared" si="20"/>
        <v>0</v>
      </c>
      <c r="Y43">
        <f t="shared" si="23"/>
        <v>0</v>
      </c>
      <c r="Z43">
        <f t="shared" si="24"/>
        <v>0</v>
      </c>
    </row>
    <row r="44" spans="1:26" x14ac:dyDescent="0.25">
      <c r="A44" t="str">
        <f t="shared" si="0"/>
        <v>Application</v>
      </c>
      <c r="B44" t="str">
        <f t="shared" si="1"/>
        <v>Source Resource String File</v>
      </c>
      <c r="C44" t="s">
        <v>239</v>
      </c>
      <c r="D44" s="1">
        <f t="shared" si="2"/>
        <v>0</v>
      </c>
      <c r="E44" s="1">
        <f t="shared" si="3"/>
        <v>0</v>
      </c>
      <c r="F44" s="1">
        <f t="shared" si="4"/>
        <v>0</v>
      </c>
      <c r="H44" s="1">
        <f t="shared" si="5"/>
        <v>0</v>
      </c>
      <c r="I44" s="1">
        <f t="shared" si="6"/>
        <v>0</v>
      </c>
      <c r="J44" s="1">
        <f t="shared" si="7"/>
        <v>0</v>
      </c>
      <c r="K44" s="1">
        <f t="shared" si="8"/>
        <v>0</v>
      </c>
      <c r="L44" s="1">
        <f t="shared" si="9"/>
        <v>0</v>
      </c>
      <c r="M44" s="1">
        <f t="shared" si="10"/>
        <v>0</v>
      </c>
      <c r="N44" s="1">
        <f t="shared" si="11"/>
        <v>0</v>
      </c>
      <c r="P44">
        <f t="shared" si="12"/>
        <v>0</v>
      </c>
      <c r="Q44" s="1">
        <f t="shared" si="13"/>
        <v>0</v>
      </c>
      <c r="R44">
        <f t="shared" si="14"/>
        <v>0</v>
      </c>
      <c r="S44">
        <f t="shared" si="15"/>
        <v>0</v>
      </c>
      <c r="T44">
        <f t="shared" si="16"/>
        <v>0</v>
      </c>
      <c r="U44">
        <f t="shared" si="17"/>
        <v>0</v>
      </c>
      <c r="V44">
        <f t="shared" si="18"/>
        <v>0</v>
      </c>
      <c r="W44">
        <f t="shared" si="19"/>
        <v>0</v>
      </c>
      <c r="X44">
        <f t="shared" si="20"/>
        <v>0</v>
      </c>
      <c r="Y44">
        <f t="shared" si="23"/>
        <v>0</v>
      </c>
      <c r="Z44">
        <f t="shared" si="24"/>
        <v>0</v>
      </c>
    </row>
    <row r="45" spans="1:26" x14ac:dyDescent="0.25">
      <c r="A45" t="str">
        <f t="shared" si="0"/>
        <v>Application</v>
      </c>
      <c r="B45" t="str">
        <f t="shared" si="1"/>
        <v>Temporary File</v>
      </c>
      <c r="C45" t="s">
        <v>192</v>
      </c>
      <c r="D45" s="1">
        <f t="shared" si="2"/>
        <v>0</v>
      </c>
      <c r="E45" s="1">
        <f t="shared" si="3"/>
        <v>0</v>
      </c>
      <c r="F45" s="1">
        <f t="shared" si="4"/>
        <v>0</v>
      </c>
      <c r="H45" s="1">
        <f t="shared" si="5"/>
        <v>0</v>
      </c>
      <c r="I45" s="1">
        <f t="shared" si="6"/>
        <v>0</v>
      </c>
      <c r="J45" s="1">
        <f t="shared" si="7"/>
        <v>0</v>
      </c>
      <c r="K45" s="1">
        <f t="shared" si="8"/>
        <v>0</v>
      </c>
      <c r="L45" s="1">
        <f t="shared" si="9"/>
        <v>0</v>
      </c>
      <c r="M45" s="1">
        <f t="shared" si="10"/>
        <v>0</v>
      </c>
      <c r="N45" s="1">
        <f t="shared" si="11"/>
        <v>0</v>
      </c>
      <c r="P45">
        <f t="shared" si="12"/>
        <v>0</v>
      </c>
      <c r="Q45" s="1">
        <f t="shared" si="13"/>
        <v>0</v>
      </c>
      <c r="R45">
        <f t="shared" si="14"/>
        <v>0</v>
      </c>
      <c r="S45">
        <f t="shared" si="15"/>
        <v>0</v>
      </c>
      <c r="T45">
        <f t="shared" si="16"/>
        <v>0</v>
      </c>
      <c r="U45">
        <f t="shared" si="17"/>
        <v>0</v>
      </c>
      <c r="V45">
        <f t="shared" si="18"/>
        <v>0</v>
      </c>
      <c r="W45">
        <f t="shared" si="19"/>
        <v>0</v>
      </c>
      <c r="X45">
        <f t="shared" si="20"/>
        <v>0</v>
      </c>
      <c r="Y45">
        <f t="shared" si="23"/>
        <v>0</v>
      </c>
      <c r="Z45">
        <f t="shared" si="24"/>
        <v>0</v>
      </c>
    </row>
    <row r="46" spans="1:26" x14ac:dyDescent="0.25">
      <c r="A46" t="str">
        <f t="shared" si="0"/>
        <v>Application</v>
      </c>
      <c r="B46" t="str">
        <f t="shared" si="1"/>
        <v>Template File (Many possible vendors)</v>
      </c>
      <c r="C46" t="s">
        <v>432</v>
      </c>
      <c r="D46" s="1">
        <f t="shared" si="2"/>
        <v>0</v>
      </c>
      <c r="E46" s="1">
        <f t="shared" si="3"/>
        <v>0</v>
      </c>
      <c r="F46" s="1">
        <f t="shared" si="4"/>
        <v>0</v>
      </c>
      <c r="H46" s="1">
        <f t="shared" si="5"/>
        <v>0</v>
      </c>
      <c r="I46" s="1">
        <f t="shared" si="6"/>
        <v>0</v>
      </c>
      <c r="J46" s="1">
        <f t="shared" si="7"/>
        <v>0</v>
      </c>
      <c r="K46" s="1">
        <f t="shared" si="8"/>
        <v>0</v>
      </c>
      <c r="L46" s="1">
        <f t="shared" si="9"/>
        <v>0</v>
      </c>
      <c r="M46" s="1">
        <f t="shared" si="10"/>
        <v>0</v>
      </c>
      <c r="N46" s="1">
        <f t="shared" si="11"/>
        <v>0</v>
      </c>
      <c r="P46">
        <f t="shared" si="12"/>
        <v>0</v>
      </c>
      <c r="Q46" s="1">
        <f t="shared" si="13"/>
        <v>0</v>
      </c>
      <c r="R46">
        <f t="shared" si="14"/>
        <v>0</v>
      </c>
      <c r="S46">
        <f t="shared" si="15"/>
        <v>0</v>
      </c>
      <c r="T46">
        <f t="shared" si="16"/>
        <v>0</v>
      </c>
      <c r="U46">
        <f t="shared" si="17"/>
        <v>0</v>
      </c>
      <c r="V46">
        <f t="shared" si="18"/>
        <v>0</v>
      </c>
      <c r="W46">
        <f t="shared" si="19"/>
        <v>0</v>
      </c>
      <c r="X46">
        <f t="shared" si="20"/>
        <v>0</v>
      </c>
      <c r="Y46">
        <f t="shared" si="23"/>
        <v>0</v>
      </c>
      <c r="Z46">
        <f t="shared" si="24"/>
        <v>0</v>
      </c>
    </row>
    <row r="47" spans="1:26" x14ac:dyDescent="0.25">
      <c r="A47" t="str">
        <f t="shared" si="0"/>
        <v>Application</v>
      </c>
      <c r="B47" t="str">
        <f t="shared" si="1"/>
        <v>Windows Shortcut</v>
      </c>
      <c r="C47" t="s">
        <v>225</v>
      </c>
      <c r="D47" s="1">
        <f t="shared" si="2"/>
        <v>0</v>
      </c>
      <c r="E47" s="1">
        <f t="shared" si="3"/>
        <v>0</v>
      </c>
      <c r="F47" s="1">
        <f t="shared" si="4"/>
        <v>0</v>
      </c>
      <c r="H47" s="1">
        <f t="shared" si="5"/>
        <v>0</v>
      </c>
      <c r="I47" s="1">
        <f t="shared" si="6"/>
        <v>0</v>
      </c>
      <c r="J47" s="1">
        <f t="shared" si="7"/>
        <v>0</v>
      </c>
      <c r="K47" s="1">
        <f t="shared" si="8"/>
        <v>0</v>
      </c>
      <c r="L47" s="1">
        <f t="shared" si="9"/>
        <v>0</v>
      </c>
      <c r="M47" s="1">
        <f t="shared" si="10"/>
        <v>0</v>
      </c>
      <c r="N47" s="1">
        <f t="shared" si="11"/>
        <v>0</v>
      </c>
      <c r="P47">
        <f t="shared" si="12"/>
        <v>0</v>
      </c>
      <c r="Q47" s="1">
        <f t="shared" si="13"/>
        <v>0</v>
      </c>
      <c r="R47">
        <f t="shared" si="14"/>
        <v>0</v>
      </c>
      <c r="S47">
        <f t="shared" si="15"/>
        <v>0</v>
      </c>
      <c r="T47">
        <f t="shared" si="16"/>
        <v>0</v>
      </c>
      <c r="U47">
        <f t="shared" si="17"/>
        <v>0</v>
      </c>
      <c r="V47">
        <f t="shared" si="18"/>
        <v>0</v>
      </c>
      <c r="W47">
        <f t="shared" si="19"/>
        <v>0</v>
      </c>
      <c r="X47">
        <f t="shared" si="20"/>
        <v>0</v>
      </c>
      <c r="Y47">
        <f t="shared" si="23"/>
        <v>0</v>
      </c>
      <c r="Z47">
        <f t="shared" si="24"/>
        <v>0</v>
      </c>
    </row>
    <row r="48" spans="1:26" x14ac:dyDescent="0.25">
      <c r="A48" t="str">
        <f t="shared" si="0"/>
        <v>Application</v>
      </c>
      <c r="B48" t="str">
        <f t="shared" si="1"/>
        <v xml:space="preserve">Visual Basic </v>
      </c>
      <c r="C48" t="s">
        <v>159</v>
      </c>
      <c r="D48" s="1">
        <f t="shared" si="2"/>
        <v>0</v>
      </c>
      <c r="E48" s="1">
        <f t="shared" si="3"/>
        <v>0</v>
      </c>
      <c r="F48" s="1">
        <f t="shared" si="4"/>
        <v>0</v>
      </c>
      <c r="H48" s="1">
        <f t="shared" si="5"/>
        <v>0</v>
      </c>
      <c r="I48" s="1">
        <f t="shared" si="6"/>
        <v>0</v>
      </c>
      <c r="J48" s="1">
        <f t="shared" si="7"/>
        <v>0</v>
      </c>
      <c r="K48" s="1">
        <f t="shared" si="8"/>
        <v>0</v>
      </c>
      <c r="L48" s="1">
        <f t="shared" si="9"/>
        <v>0</v>
      </c>
      <c r="M48" s="1">
        <f t="shared" si="10"/>
        <v>0</v>
      </c>
      <c r="N48" s="1">
        <f t="shared" si="11"/>
        <v>0</v>
      </c>
      <c r="P48">
        <f t="shared" si="12"/>
        <v>0</v>
      </c>
      <c r="Q48" s="1">
        <f t="shared" si="13"/>
        <v>0</v>
      </c>
      <c r="R48">
        <f t="shared" si="14"/>
        <v>0</v>
      </c>
      <c r="S48">
        <f t="shared" si="15"/>
        <v>0</v>
      </c>
      <c r="T48">
        <f t="shared" si="16"/>
        <v>0</v>
      </c>
      <c r="U48">
        <f t="shared" si="17"/>
        <v>0</v>
      </c>
      <c r="V48">
        <f t="shared" si="18"/>
        <v>0</v>
      </c>
      <c r="W48">
        <f t="shared" si="19"/>
        <v>0</v>
      </c>
      <c r="X48">
        <f t="shared" si="20"/>
        <v>0</v>
      </c>
      <c r="Y48">
        <f t="shared" si="23"/>
        <v>0</v>
      </c>
      <c r="Z48">
        <f t="shared" si="24"/>
        <v>0</v>
      </c>
    </row>
    <row r="49" spans="1:26" x14ac:dyDescent="0.25">
      <c r="A49" t="str">
        <f t="shared" si="0"/>
        <v>Application</v>
      </c>
      <c r="B49" t="str">
        <f t="shared" si="1"/>
        <v>Visual Basic  Project</v>
      </c>
      <c r="C49" t="s">
        <v>243</v>
      </c>
      <c r="D49" s="1">
        <f t="shared" si="2"/>
        <v>0</v>
      </c>
      <c r="E49" s="1">
        <f t="shared" si="3"/>
        <v>0</v>
      </c>
      <c r="F49" s="1">
        <f t="shared" si="4"/>
        <v>0</v>
      </c>
      <c r="H49" s="1">
        <f t="shared" si="5"/>
        <v>0</v>
      </c>
      <c r="I49" s="1">
        <f t="shared" si="6"/>
        <v>0</v>
      </c>
      <c r="J49" s="1">
        <f t="shared" si="7"/>
        <v>0</v>
      </c>
      <c r="K49" s="1">
        <f t="shared" si="8"/>
        <v>0</v>
      </c>
      <c r="L49" s="1">
        <f t="shared" si="9"/>
        <v>0</v>
      </c>
      <c r="M49" s="1">
        <f t="shared" si="10"/>
        <v>0</v>
      </c>
      <c r="N49" s="1">
        <f t="shared" si="11"/>
        <v>0</v>
      </c>
      <c r="P49">
        <f t="shared" si="12"/>
        <v>0</v>
      </c>
      <c r="Q49" s="1">
        <f t="shared" si="13"/>
        <v>0</v>
      </c>
      <c r="R49">
        <f t="shared" si="14"/>
        <v>0</v>
      </c>
      <c r="S49">
        <f t="shared" si="15"/>
        <v>0</v>
      </c>
      <c r="T49">
        <f t="shared" si="16"/>
        <v>0</v>
      </c>
      <c r="U49">
        <f t="shared" si="17"/>
        <v>0</v>
      </c>
      <c r="V49">
        <f t="shared" si="18"/>
        <v>0</v>
      </c>
      <c r="W49">
        <f t="shared" si="19"/>
        <v>0</v>
      </c>
      <c r="X49">
        <f t="shared" si="20"/>
        <v>0</v>
      </c>
      <c r="Y49">
        <f t="shared" si="23"/>
        <v>0</v>
      </c>
      <c r="Z49">
        <f t="shared" si="24"/>
        <v>0</v>
      </c>
    </row>
    <row r="50" spans="1:26" x14ac:dyDescent="0.25">
      <c r="A50" t="str">
        <f t="shared" si="0"/>
        <v>Application</v>
      </c>
      <c r="B50" t="str">
        <f t="shared" si="1"/>
        <v>Visual Basic Script</v>
      </c>
      <c r="C50" t="s">
        <v>183</v>
      </c>
      <c r="D50" s="1">
        <f t="shared" si="2"/>
        <v>0</v>
      </c>
      <c r="E50" s="1">
        <f t="shared" si="3"/>
        <v>0</v>
      </c>
      <c r="F50" s="1">
        <f t="shared" si="4"/>
        <v>0</v>
      </c>
      <c r="H50" s="1">
        <f t="shared" si="5"/>
        <v>0</v>
      </c>
      <c r="I50" s="1">
        <f t="shared" si="6"/>
        <v>0</v>
      </c>
      <c r="J50" s="1">
        <f t="shared" si="7"/>
        <v>0</v>
      </c>
      <c r="K50" s="1">
        <f t="shared" si="8"/>
        <v>0</v>
      </c>
      <c r="L50" s="1">
        <f t="shared" si="9"/>
        <v>0</v>
      </c>
      <c r="M50" s="1">
        <f t="shared" si="10"/>
        <v>0</v>
      </c>
      <c r="N50" s="1">
        <f t="shared" si="11"/>
        <v>0</v>
      </c>
      <c r="P50">
        <f t="shared" si="12"/>
        <v>0</v>
      </c>
      <c r="Q50" s="1">
        <f t="shared" si="13"/>
        <v>0</v>
      </c>
      <c r="R50">
        <f t="shared" si="14"/>
        <v>0</v>
      </c>
      <c r="S50">
        <f t="shared" si="15"/>
        <v>0</v>
      </c>
      <c r="T50">
        <f t="shared" si="16"/>
        <v>0</v>
      </c>
      <c r="U50">
        <f t="shared" si="17"/>
        <v>0</v>
      </c>
      <c r="V50">
        <f t="shared" si="18"/>
        <v>0</v>
      </c>
      <c r="W50">
        <f t="shared" si="19"/>
        <v>0</v>
      </c>
      <c r="X50">
        <f t="shared" si="20"/>
        <v>0</v>
      </c>
      <c r="Y50">
        <f t="shared" si="23"/>
        <v>0</v>
      </c>
      <c r="Z50">
        <f t="shared" si="24"/>
        <v>0</v>
      </c>
    </row>
    <row r="51" spans="1:26" x14ac:dyDescent="0.25">
      <c r="A51" t="str">
        <f t="shared" si="0"/>
        <v>Application</v>
      </c>
      <c r="B51" t="str">
        <f t="shared" si="1"/>
        <v>Visual Studio File</v>
      </c>
      <c r="C51" t="s">
        <v>244</v>
      </c>
      <c r="D51" s="1">
        <f t="shared" si="2"/>
        <v>0</v>
      </c>
      <c r="E51" s="1">
        <f t="shared" si="3"/>
        <v>0</v>
      </c>
      <c r="F51" s="1">
        <f t="shared" si="4"/>
        <v>0</v>
      </c>
      <c r="H51" s="1">
        <f t="shared" si="5"/>
        <v>0</v>
      </c>
      <c r="I51" s="1">
        <f t="shared" si="6"/>
        <v>0</v>
      </c>
      <c r="J51" s="1">
        <f t="shared" si="7"/>
        <v>0</v>
      </c>
      <c r="K51" s="1">
        <f t="shared" si="8"/>
        <v>0</v>
      </c>
      <c r="L51" s="1">
        <f t="shared" si="9"/>
        <v>0</v>
      </c>
      <c r="M51" s="1">
        <f t="shared" si="10"/>
        <v>0</v>
      </c>
      <c r="N51" s="1">
        <f t="shared" si="11"/>
        <v>0</v>
      </c>
      <c r="P51">
        <f t="shared" si="12"/>
        <v>0</v>
      </c>
      <c r="Q51" s="1">
        <f t="shared" si="13"/>
        <v>0</v>
      </c>
      <c r="R51">
        <f t="shared" si="14"/>
        <v>0</v>
      </c>
      <c r="S51">
        <f t="shared" si="15"/>
        <v>0</v>
      </c>
      <c r="T51">
        <f t="shared" si="16"/>
        <v>0</v>
      </c>
      <c r="U51">
        <f t="shared" si="17"/>
        <v>0</v>
      </c>
      <c r="V51">
        <f t="shared" si="18"/>
        <v>0</v>
      </c>
      <c r="W51">
        <f t="shared" si="19"/>
        <v>0</v>
      </c>
      <c r="X51">
        <f t="shared" si="20"/>
        <v>0</v>
      </c>
      <c r="Y51">
        <f t="shared" si="23"/>
        <v>0</v>
      </c>
      <c r="Z51">
        <f t="shared" si="24"/>
        <v>0</v>
      </c>
    </row>
    <row r="52" spans="1:26" x14ac:dyDescent="0.25">
      <c r="A52" t="str">
        <f t="shared" si="0"/>
        <v>Application</v>
      </c>
      <c r="B52" t="str">
        <f t="shared" si="1"/>
        <v xml:space="preserve">Web Open Font File </v>
      </c>
      <c r="C52" t="s">
        <v>141</v>
      </c>
      <c r="D52" s="1">
        <f t="shared" si="2"/>
        <v>0</v>
      </c>
      <c r="E52" s="1">
        <f t="shared" si="3"/>
        <v>0</v>
      </c>
      <c r="F52" s="1">
        <f t="shared" si="4"/>
        <v>0</v>
      </c>
      <c r="H52" s="1">
        <f t="shared" si="5"/>
        <v>0</v>
      </c>
      <c r="I52" s="1">
        <f t="shared" si="6"/>
        <v>0</v>
      </c>
      <c r="J52" s="1">
        <f t="shared" si="7"/>
        <v>0</v>
      </c>
      <c r="K52" s="1">
        <f t="shared" si="8"/>
        <v>0</v>
      </c>
      <c r="L52" s="1">
        <f t="shared" si="9"/>
        <v>0</v>
      </c>
      <c r="M52" s="1">
        <f t="shared" si="10"/>
        <v>0</v>
      </c>
      <c r="N52" s="1">
        <f t="shared" si="11"/>
        <v>0</v>
      </c>
      <c r="P52">
        <f t="shared" si="12"/>
        <v>0</v>
      </c>
      <c r="Q52" s="1">
        <f t="shared" si="13"/>
        <v>0</v>
      </c>
      <c r="R52">
        <f t="shared" si="14"/>
        <v>0</v>
      </c>
      <c r="S52">
        <f t="shared" si="15"/>
        <v>0</v>
      </c>
      <c r="T52">
        <f t="shared" si="16"/>
        <v>0</v>
      </c>
      <c r="U52">
        <f t="shared" si="17"/>
        <v>0</v>
      </c>
      <c r="V52">
        <f t="shared" si="18"/>
        <v>0</v>
      </c>
      <c r="W52">
        <f t="shared" si="19"/>
        <v>0</v>
      </c>
      <c r="X52">
        <f t="shared" si="20"/>
        <v>0</v>
      </c>
      <c r="Y52">
        <f t="shared" si="23"/>
        <v>0</v>
      </c>
      <c r="Z52">
        <f t="shared" si="24"/>
        <v>0</v>
      </c>
    </row>
    <row r="53" spans="1:26" x14ac:dyDescent="0.25">
      <c r="A53" t="str">
        <f t="shared" si="0"/>
        <v>Archive</v>
      </c>
      <c r="B53" t="str">
        <f t="shared" si="1"/>
        <v>Compressed archive</v>
      </c>
      <c r="C53" t="s">
        <v>212</v>
      </c>
      <c r="D53" s="1">
        <f t="shared" si="2"/>
        <v>0</v>
      </c>
      <c r="E53" s="1">
        <f t="shared" si="3"/>
        <v>0</v>
      </c>
      <c r="F53" s="1">
        <f t="shared" si="4"/>
        <v>0</v>
      </c>
      <c r="H53" s="1">
        <f t="shared" si="5"/>
        <v>0</v>
      </c>
      <c r="I53" s="1">
        <f t="shared" si="6"/>
        <v>0</v>
      </c>
      <c r="J53" s="1">
        <f t="shared" si="7"/>
        <v>0</v>
      </c>
      <c r="K53" s="1">
        <f t="shared" si="8"/>
        <v>0</v>
      </c>
      <c r="L53" s="1">
        <f t="shared" si="9"/>
        <v>0</v>
      </c>
      <c r="M53" s="1">
        <f t="shared" si="10"/>
        <v>0</v>
      </c>
      <c r="N53" s="1">
        <f t="shared" si="11"/>
        <v>0</v>
      </c>
      <c r="P53">
        <f t="shared" si="12"/>
        <v>0</v>
      </c>
      <c r="Q53" s="1">
        <f t="shared" si="13"/>
        <v>0</v>
      </c>
      <c r="R53">
        <f t="shared" si="14"/>
        <v>0</v>
      </c>
      <c r="S53">
        <f t="shared" si="15"/>
        <v>0</v>
      </c>
      <c r="T53">
        <f t="shared" si="16"/>
        <v>0</v>
      </c>
      <c r="U53">
        <f t="shared" si="17"/>
        <v>0</v>
      </c>
      <c r="V53">
        <f t="shared" si="18"/>
        <v>0</v>
      </c>
      <c r="W53">
        <f t="shared" si="19"/>
        <v>0</v>
      </c>
      <c r="X53">
        <f t="shared" si="20"/>
        <v>0</v>
      </c>
      <c r="Y53">
        <f t="shared" si="23"/>
        <v>0</v>
      </c>
      <c r="Z53">
        <f t="shared" si="24"/>
        <v>0</v>
      </c>
    </row>
    <row r="54" spans="1:26" x14ac:dyDescent="0.25">
      <c r="A54" t="str">
        <f t="shared" si="0"/>
        <v>Archive</v>
      </c>
      <c r="B54" t="str">
        <f t="shared" si="1"/>
        <v>Microsoft CABinet</v>
      </c>
      <c r="C54" t="s">
        <v>299</v>
      </c>
      <c r="D54" s="1">
        <f t="shared" si="2"/>
        <v>0</v>
      </c>
      <c r="E54" s="1">
        <f t="shared" si="3"/>
        <v>0</v>
      </c>
      <c r="F54" s="1">
        <f t="shared" si="4"/>
        <v>0</v>
      </c>
      <c r="H54" s="1">
        <f t="shared" si="5"/>
        <v>0</v>
      </c>
      <c r="I54" s="1">
        <f t="shared" si="6"/>
        <v>0</v>
      </c>
      <c r="J54" s="1">
        <f t="shared" si="7"/>
        <v>0</v>
      </c>
      <c r="K54" s="1">
        <f t="shared" si="8"/>
        <v>0</v>
      </c>
      <c r="L54" s="1">
        <f t="shared" si="9"/>
        <v>0</v>
      </c>
      <c r="M54" s="1">
        <f t="shared" si="10"/>
        <v>0</v>
      </c>
      <c r="N54" s="1">
        <f t="shared" si="11"/>
        <v>0</v>
      </c>
      <c r="P54">
        <f t="shared" si="12"/>
        <v>0</v>
      </c>
      <c r="Q54" s="1">
        <f t="shared" si="13"/>
        <v>0</v>
      </c>
      <c r="R54">
        <f t="shared" si="14"/>
        <v>0</v>
      </c>
      <c r="S54">
        <f t="shared" si="15"/>
        <v>0</v>
      </c>
      <c r="T54">
        <f t="shared" si="16"/>
        <v>0</v>
      </c>
      <c r="U54">
        <f t="shared" si="17"/>
        <v>0</v>
      </c>
      <c r="V54">
        <f t="shared" si="18"/>
        <v>0</v>
      </c>
      <c r="W54">
        <f t="shared" si="19"/>
        <v>0</v>
      </c>
      <c r="X54">
        <f t="shared" si="20"/>
        <v>0</v>
      </c>
      <c r="Y54">
        <f t="shared" si="23"/>
        <v>0</v>
      </c>
      <c r="Z54">
        <f t="shared" si="24"/>
        <v>0</v>
      </c>
    </row>
    <row r="55" spans="1:26" x14ac:dyDescent="0.25">
      <c r="A55" t="str">
        <f t="shared" si="0"/>
        <v>Archive</v>
      </c>
      <c r="B55" t="str">
        <f t="shared" si="1"/>
        <v>Virtual Hard Disk</v>
      </c>
      <c r="C55" t="s">
        <v>285</v>
      </c>
      <c r="D55" s="1">
        <f t="shared" si="2"/>
        <v>0</v>
      </c>
      <c r="E55" s="1">
        <f t="shared" si="3"/>
        <v>0</v>
      </c>
      <c r="F55" s="1">
        <f t="shared" si="4"/>
        <v>0</v>
      </c>
      <c r="H55" s="1">
        <f t="shared" si="5"/>
        <v>0</v>
      </c>
      <c r="I55" s="1">
        <f t="shared" si="6"/>
        <v>0</v>
      </c>
      <c r="J55" s="1">
        <f t="shared" si="7"/>
        <v>0</v>
      </c>
      <c r="K55" s="1">
        <f t="shared" si="8"/>
        <v>0</v>
      </c>
      <c r="L55" s="1">
        <f t="shared" si="9"/>
        <v>0</v>
      </c>
      <c r="M55" s="1">
        <f t="shared" si="10"/>
        <v>0</v>
      </c>
      <c r="N55" s="1">
        <f t="shared" si="11"/>
        <v>0</v>
      </c>
      <c r="P55">
        <f t="shared" si="12"/>
        <v>0</v>
      </c>
      <c r="Q55" s="1">
        <f t="shared" si="13"/>
        <v>0</v>
      </c>
      <c r="R55">
        <f t="shared" si="14"/>
        <v>0</v>
      </c>
      <c r="S55">
        <f t="shared" si="15"/>
        <v>0</v>
      </c>
      <c r="T55">
        <f t="shared" si="16"/>
        <v>0</v>
      </c>
      <c r="U55">
        <f t="shared" si="17"/>
        <v>0</v>
      </c>
      <c r="V55">
        <f t="shared" si="18"/>
        <v>0</v>
      </c>
      <c r="W55">
        <f t="shared" si="19"/>
        <v>0</v>
      </c>
      <c r="X55">
        <f t="shared" si="20"/>
        <v>0</v>
      </c>
      <c r="Y55">
        <f t="shared" si="23"/>
        <v>0</v>
      </c>
      <c r="Z55">
        <f t="shared" si="24"/>
        <v>0</v>
      </c>
    </row>
    <row r="56" spans="1:26" x14ac:dyDescent="0.25">
      <c r="A56" t="str">
        <f t="shared" si="0"/>
        <v>Archive</v>
      </c>
      <c r="B56" t="str">
        <f t="shared" si="1"/>
        <v>Gzip</v>
      </c>
      <c r="C56" t="s">
        <v>300</v>
      </c>
      <c r="D56" s="1">
        <f t="shared" si="2"/>
        <v>0</v>
      </c>
      <c r="E56" s="1">
        <f t="shared" si="3"/>
        <v>0</v>
      </c>
      <c r="F56" s="1">
        <f t="shared" si="4"/>
        <v>0</v>
      </c>
      <c r="H56" s="1">
        <f t="shared" si="5"/>
        <v>0</v>
      </c>
      <c r="I56" s="1">
        <f t="shared" si="6"/>
        <v>0</v>
      </c>
      <c r="J56" s="1">
        <f t="shared" si="7"/>
        <v>0</v>
      </c>
      <c r="K56" s="1">
        <f t="shared" si="8"/>
        <v>0</v>
      </c>
      <c r="L56" s="1">
        <f t="shared" si="9"/>
        <v>0</v>
      </c>
      <c r="M56" s="1">
        <f t="shared" si="10"/>
        <v>0</v>
      </c>
      <c r="N56" s="1">
        <f t="shared" si="11"/>
        <v>0</v>
      </c>
      <c r="P56">
        <f t="shared" si="12"/>
        <v>0</v>
      </c>
      <c r="Q56" s="1">
        <f t="shared" si="13"/>
        <v>0</v>
      </c>
      <c r="R56">
        <f t="shared" si="14"/>
        <v>0</v>
      </c>
      <c r="S56">
        <f t="shared" si="15"/>
        <v>0</v>
      </c>
      <c r="T56">
        <f t="shared" si="16"/>
        <v>0</v>
      </c>
      <c r="U56">
        <f t="shared" si="17"/>
        <v>0</v>
      </c>
      <c r="V56">
        <f t="shared" si="18"/>
        <v>0</v>
      </c>
      <c r="W56">
        <f t="shared" si="19"/>
        <v>0</v>
      </c>
      <c r="X56">
        <f t="shared" si="20"/>
        <v>0</v>
      </c>
      <c r="Y56">
        <f t="shared" si="23"/>
        <v>0</v>
      </c>
      <c r="Z56">
        <f t="shared" si="24"/>
        <v>0</v>
      </c>
    </row>
    <row r="57" spans="1:26" x14ac:dyDescent="0.25">
      <c r="A57" t="str">
        <f t="shared" si="0"/>
        <v>Archive</v>
      </c>
      <c r="B57" t="str">
        <f t="shared" si="1"/>
        <v>Optical Media Image</v>
      </c>
      <c r="C57" t="s">
        <v>312</v>
      </c>
      <c r="D57" s="1">
        <f t="shared" si="2"/>
        <v>0</v>
      </c>
      <c r="E57" s="1">
        <f t="shared" si="3"/>
        <v>0</v>
      </c>
      <c r="F57" s="1">
        <f t="shared" si="4"/>
        <v>0</v>
      </c>
      <c r="H57" s="1">
        <f t="shared" si="5"/>
        <v>0</v>
      </c>
      <c r="I57" s="1">
        <f t="shared" si="6"/>
        <v>0</v>
      </c>
      <c r="J57" s="1">
        <f t="shared" si="7"/>
        <v>0</v>
      </c>
      <c r="K57" s="1">
        <f t="shared" si="8"/>
        <v>0</v>
      </c>
      <c r="L57" s="1">
        <f t="shared" si="9"/>
        <v>0</v>
      </c>
      <c r="M57" s="1">
        <f t="shared" si="10"/>
        <v>0</v>
      </c>
      <c r="N57" s="1">
        <f t="shared" si="11"/>
        <v>0</v>
      </c>
      <c r="P57">
        <f t="shared" si="12"/>
        <v>0</v>
      </c>
      <c r="Q57" s="1">
        <f t="shared" si="13"/>
        <v>0</v>
      </c>
      <c r="R57">
        <f t="shared" si="14"/>
        <v>0</v>
      </c>
      <c r="S57">
        <f t="shared" si="15"/>
        <v>0</v>
      </c>
      <c r="T57">
        <f t="shared" si="16"/>
        <v>0</v>
      </c>
      <c r="U57">
        <f t="shared" si="17"/>
        <v>0</v>
      </c>
      <c r="V57">
        <f t="shared" si="18"/>
        <v>0</v>
      </c>
      <c r="W57">
        <f t="shared" si="19"/>
        <v>0</v>
      </c>
      <c r="X57">
        <f t="shared" si="20"/>
        <v>0</v>
      </c>
      <c r="Y57">
        <f t="shared" si="23"/>
        <v>0</v>
      </c>
      <c r="Z57">
        <f t="shared" si="24"/>
        <v>0</v>
      </c>
    </row>
    <row r="58" spans="1:26" x14ac:dyDescent="0.25">
      <c r="A58" t="str">
        <f t="shared" si="0"/>
        <v>Archive</v>
      </c>
      <c r="B58" t="str">
        <f t="shared" si="1"/>
        <v>Virtual Machine BIOS</v>
      </c>
      <c r="C58" t="s">
        <v>288</v>
      </c>
      <c r="D58" s="1">
        <f t="shared" si="2"/>
        <v>0</v>
      </c>
      <c r="E58" s="1">
        <f t="shared" si="3"/>
        <v>0</v>
      </c>
      <c r="F58" s="1">
        <f t="shared" si="4"/>
        <v>0</v>
      </c>
      <c r="H58" s="1">
        <f t="shared" si="5"/>
        <v>0</v>
      </c>
      <c r="I58" s="1">
        <f t="shared" si="6"/>
        <v>0</v>
      </c>
      <c r="J58" s="1">
        <f t="shared" si="7"/>
        <v>0</v>
      </c>
      <c r="K58" s="1">
        <f t="shared" si="8"/>
        <v>0</v>
      </c>
      <c r="L58" s="1">
        <f t="shared" si="9"/>
        <v>0</v>
      </c>
      <c r="M58" s="1">
        <f t="shared" si="10"/>
        <v>0</v>
      </c>
      <c r="N58" s="1">
        <f t="shared" si="11"/>
        <v>0</v>
      </c>
      <c r="P58">
        <f t="shared" si="12"/>
        <v>0</v>
      </c>
      <c r="Q58" s="1">
        <f t="shared" si="13"/>
        <v>0</v>
      </c>
      <c r="R58">
        <f t="shared" si="14"/>
        <v>0</v>
      </c>
      <c r="S58">
        <f t="shared" si="15"/>
        <v>0</v>
      </c>
      <c r="T58">
        <f t="shared" si="16"/>
        <v>0</v>
      </c>
      <c r="U58">
        <f t="shared" si="17"/>
        <v>0</v>
      </c>
      <c r="V58">
        <f t="shared" si="18"/>
        <v>0</v>
      </c>
      <c r="W58">
        <f t="shared" si="19"/>
        <v>0</v>
      </c>
      <c r="X58">
        <f t="shared" si="20"/>
        <v>0</v>
      </c>
      <c r="Y58">
        <f t="shared" si="23"/>
        <v>0</v>
      </c>
      <c r="Z58">
        <f t="shared" si="24"/>
        <v>0</v>
      </c>
    </row>
    <row r="59" spans="1:26" x14ac:dyDescent="0.25">
      <c r="A59" t="str">
        <f t="shared" si="0"/>
        <v>Archive</v>
      </c>
      <c r="B59" t="str">
        <f t="shared" si="1"/>
        <v>RAR Archive</v>
      </c>
      <c r="C59" t="s">
        <v>301</v>
      </c>
      <c r="D59" s="1">
        <f t="shared" si="2"/>
        <v>0</v>
      </c>
      <c r="E59" s="1">
        <f t="shared" si="3"/>
        <v>0</v>
      </c>
      <c r="F59" s="1">
        <f t="shared" si="4"/>
        <v>0</v>
      </c>
      <c r="H59" s="1">
        <f t="shared" si="5"/>
        <v>0</v>
      </c>
      <c r="I59" s="1">
        <f t="shared" si="6"/>
        <v>0</v>
      </c>
      <c r="J59" s="1">
        <f t="shared" si="7"/>
        <v>0</v>
      </c>
      <c r="K59" s="1">
        <f t="shared" si="8"/>
        <v>0</v>
      </c>
      <c r="L59" s="1">
        <f t="shared" si="9"/>
        <v>0</v>
      </c>
      <c r="M59" s="1">
        <f t="shared" si="10"/>
        <v>0</v>
      </c>
      <c r="N59" s="1">
        <f t="shared" si="11"/>
        <v>0</v>
      </c>
      <c r="P59">
        <f t="shared" si="12"/>
        <v>0</v>
      </c>
      <c r="Q59" s="1">
        <f t="shared" si="13"/>
        <v>0</v>
      </c>
      <c r="R59">
        <f t="shared" si="14"/>
        <v>0</v>
      </c>
      <c r="S59">
        <f t="shared" si="15"/>
        <v>0</v>
      </c>
      <c r="T59">
        <f t="shared" si="16"/>
        <v>0</v>
      </c>
      <c r="U59">
        <f t="shared" si="17"/>
        <v>0</v>
      </c>
      <c r="V59">
        <f t="shared" si="18"/>
        <v>0</v>
      </c>
      <c r="W59">
        <f t="shared" si="19"/>
        <v>0</v>
      </c>
      <c r="X59">
        <f t="shared" si="20"/>
        <v>0</v>
      </c>
      <c r="Y59">
        <f t="shared" si="23"/>
        <v>0</v>
      </c>
      <c r="Z59">
        <f t="shared" si="24"/>
        <v>0</v>
      </c>
    </row>
    <row r="60" spans="1:26" x14ac:dyDescent="0.25">
      <c r="A60" t="str">
        <f t="shared" si="0"/>
        <v>Archive</v>
      </c>
      <c r="B60" t="str">
        <f t="shared" si="1"/>
        <v>Tar Archive</v>
      </c>
      <c r="C60" t="s">
        <v>302</v>
      </c>
      <c r="D60" s="1">
        <f t="shared" si="2"/>
        <v>0</v>
      </c>
      <c r="E60" s="1">
        <f t="shared" si="3"/>
        <v>0</v>
      </c>
      <c r="F60" s="1">
        <f t="shared" si="4"/>
        <v>0</v>
      </c>
      <c r="H60" s="1">
        <f t="shared" si="5"/>
        <v>0</v>
      </c>
      <c r="I60" s="1">
        <f t="shared" si="6"/>
        <v>0</v>
      </c>
      <c r="J60" s="1">
        <f t="shared" si="7"/>
        <v>0</v>
      </c>
      <c r="K60" s="1">
        <f t="shared" si="8"/>
        <v>0</v>
      </c>
      <c r="L60" s="1">
        <f t="shared" si="9"/>
        <v>0</v>
      </c>
      <c r="M60" s="1">
        <f t="shared" si="10"/>
        <v>0</v>
      </c>
      <c r="N60" s="1">
        <f t="shared" si="11"/>
        <v>0</v>
      </c>
      <c r="P60">
        <f t="shared" si="12"/>
        <v>0</v>
      </c>
      <c r="Q60" s="1">
        <f t="shared" si="13"/>
        <v>0</v>
      </c>
      <c r="R60">
        <f t="shared" si="14"/>
        <v>0</v>
      </c>
      <c r="S60">
        <f t="shared" si="15"/>
        <v>0</v>
      </c>
      <c r="T60">
        <f t="shared" si="16"/>
        <v>0</v>
      </c>
      <c r="U60">
        <f t="shared" si="17"/>
        <v>0</v>
      </c>
      <c r="V60">
        <f t="shared" si="18"/>
        <v>0</v>
      </c>
      <c r="W60">
        <f t="shared" si="19"/>
        <v>0</v>
      </c>
      <c r="X60">
        <f t="shared" si="20"/>
        <v>0</v>
      </c>
      <c r="Y60">
        <f t="shared" si="23"/>
        <v>0</v>
      </c>
      <c r="Z60">
        <f t="shared" si="24"/>
        <v>0</v>
      </c>
    </row>
    <row r="61" spans="1:26" x14ac:dyDescent="0.25">
      <c r="A61" t="str">
        <f t="shared" si="0"/>
        <v>Archive</v>
      </c>
      <c r="B61" t="str">
        <f t="shared" si="1"/>
        <v>VirtualBox Disk Image</v>
      </c>
      <c r="C61" t="s">
        <v>286</v>
      </c>
      <c r="D61" s="1">
        <f t="shared" si="2"/>
        <v>0</v>
      </c>
      <c r="E61" s="1">
        <f t="shared" si="3"/>
        <v>0</v>
      </c>
      <c r="F61" s="1">
        <f t="shared" si="4"/>
        <v>0</v>
      </c>
      <c r="H61" s="1">
        <f t="shared" si="5"/>
        <v>0</v>
      </c>
      <c r="I61" s="1">
        <f t="shared" si="6"/>
        <v>0</v>
      </c>
      <c r="J61" s="1">
        <f t="shared" si="7"/>
        <v>0</v>
      </c>
      <c r="K61" s="1">
        <f t="shared" si="8"/>
        <v>0</v>
      </c>
      <c r="L61" s="1">
        <f t="shared" si="9"/>
        <v>0</v>
      </c>
      <c r="M61" s="1">
        <f t="shared" si="10"/>
        <v>0</v>
      </c>
      <c r="N61" s="1">
        <f t="shared" si="11"/>
        <v>0</v>
      </c>
      <c r="P61">
        <f t="shared" si="12"/>
        <v>0</v>
      </c>
      <c r="Q61" s="1">
        <f t="shared" si="13"/>
        <v>0</v>
      </c>
      <c r="R61">
        <f t="shared" si="14"/>
        <v>0</v>
      </c>
      <c r="S61">
        <f t="shared" si="15"/>
        <v>0</v>
      </c>
      <c r="T61">
        <f t="shared" si="16"/>
        <v>0</v>
      </c>
      <c r="U61">
        <f t="shared" si="17"/>
        <v>0</v>
      </c>
      <c r="V61">
        <f t="shared" si="18"/>
        <v>0</v>
      </c>
      <c r="W61">
        <f t="shared" si="19"/>
        <v>0</v>
      </c>
      <c r="X61">
        <f t="shared" si="20"/>
        <v>0</v>
      </c>
      <c r="Y61">
        <f t="shared" si="23"/>
        <v>0</v>
      </c>
      <c r="Z61">
        <f t="shared" si="24"/>
        <v>0</v>
      </c>
    </row>
    <row r="62" spans="1:26" x14ac:dyDescent="0.25">
      <c r="A62" t="str">
        <f t="shared" si="0"/>
        <v>Archive</v>
      </c>
      <c r="B62" t="str">
        <f t="shared" si="1"/>
        <v>Virtual Hard Disk</v>
      </c>
      <c r="C62" t="s">
        <v>304</v>
      </c>
      <c r="D62" s="1">
        <f t="shared" si="2"/>
        <v>0</v>
      </c>
      <c r="E62" s="1">
        <f t="shared" si="3"/>
        <v>0</v>
      </c>
      <c r="F62" s="1">
        <f t="shared" si="4"/>
        <v>0</v>
      </c>
      <c r="H62" s="1">
        <f t="shared" si="5"/>
        <v>0</v>
      </c>
      <c r="I62" s="1">
        <f t="shared" si="6"/>
        <v>0</v>
      </c>
      <c r="J62" s="1">
        <f t="shared" si="7"/>
        <v>0</v>
      </c>
      <c r="K62" s="1">
        <f t="shared" si="8"/>
        <v>0</v>
      </c>
      <c r="L62" s="1">
        <f t="shared" si="9"/>
        <v>0</v>
      </c>
      <c r="M62" s="1">
        <f t="shared" si="10"/>
        <v>0</v>
      </c>
      <c r="N62" s="1">
        <f t="shared" si="11"/>
        <v>0</v>
      </c>
      <c r="P62">
        <f t="shared" si="12"/>
        <v>0</v>
      </c>
      <c r="Q62" s="1">
        <f t="shared" si="13"/>
        <v>0</v>
      </c>
      <c r="R62">
        <f t="shared" si="14"/>
        <v>0</v>
      </c>
      <c r="S62">
        <f t="shared" si="15"/>
        <v>0</v>
      </c>
      <c r="T62">
        <f t="shared" si="16"/>
        <v>0</v>
      </c>
      <c r="U62">
        <f t="shared" si="17"/>
        <v>0</v>
      </c>
      <c r="V62">
        <f t="shared" si="18"/>
        <v>0</v>
      </c>
      <c r="W62">
        <f t="shared" si="19"/>
        <v>0</v>
      </c>
      <c r="X62">
        <f t="shared" si="20"/>
        <v>0</v>
      </c>
      <c r="Y62">
        <f t="shared" si="23"/>
        <v>0</v>
      </c>
      <c r="Z62">
        <f t="shared" si="24"/>
        <v>0</v>
      </c>
    </row>
    <row r="63" spans="1:26" x14ac:dyDescent="0.25">
      <c r="A63" t="str">
        <f t="shared" si="0"/>
        <v>Archive</v>
      </c>
      <c r="B63" t="str">
        <f t="shared" si="1"/>
        <v>Virtual Machine Configuration</v>
      </c>
      <c r="C63" t="s">
        <v>284</v>
      </c>
      <c r="D63" s="1">
        <f t="shared" si="2"/>
        <v>0</v>
      </c>
      <c r="E63" s="1">
        <f t="shared" si="3"/>
        <v>0</v>
      </c>
      <c r="F63" s="1">
        <f t="shared" si="4"/>
        <v>0</v>
      </c>
      <c r="H63" s="1">
        <f t="shared" si="5"/>
        <v>0</v>
      </c>
      <c r="I63" s="1">
        <f t="shared" si="6"/>
        <v>0</v>
      </c>
      <c r="J63" s="1">
        <f t="shared" si="7"/>
        <v>0</v>
      </c>
      <c r="K63" s="1">
        <f t="shared" si="8"/>
        <v>0</v>
      </c>
      <c r="L63" s="1">
        <f t="shared" si="9"/>
        <v>0</v>
      </c>
      <c r="M63" s="1">
        <f t="shared" si="10"/>
        <v>0</v>
      </c>
      <c r="N63" s="1">
        <f t="shared" si="11"/>
        <v>0</v>
      </c>
      <c r="P63">
        <f t="shared" si="12"/>
        <v>0</v>
      </c>
      <c r="Q63" s="1">
        <f t="shared" si="13"/>
        <v>0</v>
      </c>
      <c r="R63">
        <f t="shared" si="14"/>
        <v>0</v>
      </c>
      <c r="S63">
        <f t="shared" si="15"/>
        <v>0</v>
      </c>
      <c r="T63">
        <f t="shared" si="16"/>
        <v>0</v>
      </c>
      <c r="U63">
        <f t="shared" si="17"/>
        <v>0</v>
      </c>
      <c r="V63">
        <f t="shared" si="18"/>
        <v>0</v>
      </c>
      <c r="W63">
        <f t="shared" si="19"/>
        <v>0</v>
      </c>
      <c r="X63">
        <f t="shared" si="20"/>
        <v>0</v>
      </c>
      <c r="Y63">
        <f t="shared" si="23"/>
        <v>0</v>
      </c>
      <c r="Z63">
        <f t="shared" si="24"/>
        <v>0</v>
      </c>
    </row>
    <row r="64" spans="1:26" x14ac:dyDescent="0.25">
      <c r="A64" t="str">
        <f t="shared" si="0"/>
        <v>Archive</v>
      </c>
      <c r="B64" t="str">
        <f t="shared" si="1"/>
        <v>Virtual Machine Disk</v>
      </c>
      <c r="C64" t="s">
        <v>303</v>
      </c>
      <c r="D64" s="1">
        <f t="shared" si="2"/>
        <v>0</v>
      </c>
      <c r="E64" s="1">
        <f t="shared" si="3"/>
        <v>0</v>
      </c>
      <c r="F64" s="1">
        <f t="shared" si="4"/>
        <v>0</v>
      </c>
      <c r="H64" s="1">
        <f t="shared" si="5"/>
        <v>0</v>
      </c>
      <c r="I64" s="1">
        <f t="shared" si="6"/>
        <v>0</v>
      </c>
      <c r="J64" s="1">
        <f t="shared" si="7"/>
        <v>0</v>
      </c>
      <c r="K64" s="1">
        <f t="shared" si="8"/>
        <v>0</v>
      </c>
      <c r="L64" s="1">
        <f t="shared" si="9"/>
        <v>0</v>
      </c>
      <c r="M64" s="1">
        <f t="shared" si="10"/>
        <v>0</v>
      </c>
      <c r="N64" s="1">
        <f t="shared" si="11"/>
        <v>0</v>
      </c>
      <c r="P64">
        <f t="shared" si="12"/>
        <v>0</v>
      </c>
      <c r="Q64" s="1">
        <f t="shared" si="13"/>
        <v>0</v>
      </c>
      <c r="R64">
        <f t="shared" si="14"/>
        <v>0</v>
      </c>
      <c r="S64">
        <f t="shared" si="15"/>
        <v>0</v>
      </c>
      <c r="T64">
        <f t="shared" si="16"/>
        <v>0</v>
      </c>
      <c r="U64">
        <f t="shared" si="17"/>
        <v>0</v>
      </c>
      <c r="V64">
        <f t="shared" si="18"/>
        <v>0</v>
      </c>
      <c r="W64">
        <f t="shared" si="19"/>
        <v>0</v>
      </c>
      <c r="X64">
        <f t="shared" si="20"/>
        <v>0</v>
      </c>
      <c r="Y64">
        <f t="shared" si="23"/>
        <v>0</v>
      </c>
      <c r="Z64">
        <f t="shared" si="24"/>
        <v>0</v>
      </c>
    </row>
    <row r="65" spans="1:26" x14ac:dyDescent="0.25">
      <c r="A65" t="str">
        <f t="shared" si="0"/>
        <v>Archive</v>
      </c>
      <c r="B65" t="str">
        <f t="shared" si="1"/>
        <v>File archive</v>
      </c>
      <c r="C65" t="s">
        <v>255</v>
      </c>
      <c r="D65" s="1">
        <f t="shared" si="2"/>
        <v>0</v>
      </c>
      <c r="E65" s="1">
        <f t="shared" si="3"/>
        <v>0</v>
      </c>
      <c r="F65" s="1">
        <f t="shared" si="4"/>
        <v>0</v>
      </c>
      <c r="H65" s="1">
        <f t="shared" si="5"/>
        <v>0</v>
      </c>
      <c r="I65" s="1">
        <f t="shared" si="6"/>
        <v>0</v>
      </c>
      <c r="J65" s="1">
        <f t="shared" si="7"/>
        <v>0</v>
      </c>
      <c r="K65" s="1">
        <f t="shared" si="8"/>
        <v>0</v>
      </c>
      <c r="L65" s="1">
        <f t="shared" si="9"/>
        <v>0</v>
      </c>
      <c r="M65" s="1">
        <f t="shared" si="10"/>
        <v>0</v>
      </c>
      <c r="N65" s="1">
        <f t="shared" si="11"/>
        <v>0</v>
      </c>
      <c r="P65">
        <f t="shared" si="12"/>
        <v>0</v>
      </c>
      <c r="Q65" s="1">
        <f t="shared" si="13"/>
        <v>0</v>
      </c>
      <c r="R65">
        <f t="shared" si="14"/>
        <v>0</v>
      </c>
      <c r="S65">
        <f t="shared" si="15"/>
        <v>0</v>
      </c>
      <c r="T65">
        <f t="shared" si="16"/>
        <v>0</v>
      </c>
      <c r="U65">
        <f t="shared" si="17"/>
        <v>0</v>
      </c>
      <c r="V65">
        <f t="shared" si="18"/>
        <v>0</v>
      </c>
      <c r="W65">
        <f t="shared" si="19"/>
        <v>0</v>
      </c>
      <c r="X65">
        <f t="shared" si="20"/>
        <v>0</v>
      </c>
      <c r="Y65">
        <f t="shared" si="23"/>
        <v>0</v>
      </c>
      <c r="Z65">
        <f t="shared" si="24"/>
        <v>0</v>
      </c>
    </row>
    <row r="66" spans="1:26" x14ac:dyDescent="0.25">
      <c r="A66" t="str">
        <f t="shared" ref="A66:A129" si="25">LOOKUP(C66, lkpExt, lkpCat)</f>
        <v>Audio</v>
      </c>
      <c r="B66" t="str">
        <f t="shared" ref="B66:B129" si="26">LOOKUP(C66,lkpExt,lkpDesc)</f>
        <v>Advanced Audio Coding</v>
      </c>
      <c r="C66" t="s">
        <v>287</v>
      </c>
      <c r="D66" s="1">
        <f t="shared" ref="D66:D129" si="27">SUMIF(Exts, C66,Bytes)</f>
        <v>0</v>
      </c>
      <c r="E66" s="1">
        <f t="shared" ref="E66:E129" si="28">IF(P66&gt;0,D66/P66,0)</f>
        <v>0</v>
      </c>
      <c r="F66" s="1">
        <f t="shared" ref="F66:F129" si="29">D66/1024/1024</f>
        <v>0</v>
      </c>
      <c r="H66" s="1">
        <f t="shared" ref="H66:H129" si="30">SUMIFS(Bytes,Exts, C66,Age,0)/1024/1024</f>
        <v>0</v>
      </c>
      <c r="I66" s="1">
        <f t="shared" ref="I66:I129" si="31">SUMIFS(Bytes,Exts, C66,Age,1)/1024/1024</f>
        <v>0</v>
      </c>
      <c r="J66" s="1">
        <f t="shared" ref="J66:J129" si="32">SUMIFS(Bytes,Exts, C66,Age,2)/1024/1024</f>
        <v>0</v>
      </c>
      <c r="K66" s="1">
        <f t="shared" ref="K66:K129" si="33">SUMIFS(Bytes,Exts, C66,Age,3)/1024/1024</f>
        <v>0</v>
      </c>
      <c r="L66" s="1">
        <f t="shared" ref="L66:L129" si="34">SUMIFS(Bytes,Exts, C66,Age,4)/1024/1024</f>
        <v>0</v>
      </c>
      <c r="M66" s="1">
        <f t="shared" ref="M66:M129" si="35">SUMIFS(Bytes,Exts, C66,Age,"&lt;5")/1024/1024</f>
        <v>0</v>
      </c>
      <c r="N66" s="1">
        <f t="shared" ref="N66:N129" si="36">SUMIFS(Bytes,Exts, C66,Age,"&gt;=5")/1024/1024</f>
        <v>0</v>
      </c>
      <c r="P66">
        <f t="shared" ref="P66:P129" si="37">COUNTIF(Exts, C66)</f>
        <v>0</v>
      </c>
      <c r="Q66" s="1">
        <f t="shared" ref="Q66:Q129" si="38">COUNTIFS(Exts,C66,Age,0)</f>
        <v>0</v>
      </c>
      <c r="R66">
        <f t="shared" ref="R66:R129" si="39">COUNTIFS(Exts,C66,Age,1)</f>
        <v>0</v>
      </c>
      <c r="S66">
        <f t="shared" ref="S66:S129" si="40">COUNTIFS(Exts,C66,Age,2)</f>
        <v>0</v>
      </c>
      <c r="T66">
        <f t="shared" ref="T66:T129" si="41">COUNTIFS(Exts,C66,Age,3)</f>
        <v>0</v>
      </c>
      <c r="U66">
        <f t="shared" ref="U66:U129" si="42">COUNTIFS(Exts,C66,Age,4)</f>
        <v>0</v>
      </c>
      <c r="V66">
        <f t="shared" ref="V66:V129" si="43">COUNTIFS(Exts,C66,Age,"&lt;5")</f>
        <v>0</v>
      </c>
      <c r="W66">
        <f t="shared" ref="W66:W129" si="44">COUNTIFS(Exts,C66,Age,"&gt;=5")</f>
        <v>0</v>
      </c>
      <c r="X66">
        <f t="shared" ref="X66:X129" si="45">COUNTIFS(Exts,C66,Age,"&gt;=10")</f>
        <v>0</v>
      </c>
      <c r="Y66">
        <f t="shared" si="23"/>
        <v>0</v>
      </c>
      <c r="Z66">
        <f t="shared" si="24"/>
        <v>0</v>
      </c>
    </row>
    <row r="67" spans="1:26" x14ac:dyDescent="0.25">
      <c r="A67" t="str">
        <f t="shared" si="25"/>
        <v>Audio</v>
      </c>
      <c r="B67" t="str">
        <f t="shared" si="26"/>
        <v>Apple Audio</v>
      </c>
      <c r="C67" t="s">
        <v>289</v>
      </c>
      <c r="D67" s="1">
        <f t="shared" si="27"/>
        <v>0</v>
      </c>
      <c r="E67" s="1">
        <f t="shared" si="28"/>
        <v>0</v>
      </c>
      <c r="F67" s="1">
        <f t="shared" si="29"/>
        <v>0</v>
      </c>
      <c r="H67" s="1">
        <f t="shared" si="30"/>
        <v>0</v>
      </c>
      <c r="I67" s="1">
        <f t="shared" si="31"/>
        <v>0</v>
      </c>
      <c r="J67" s="1">
        <f t="shared" si="32"/>
        <v>0</v>
      </c>
      <c r="K67" s="1">
        <f t="shared" si="33"/>
        <v>0</v>
      </c>
      <c r="L67" s="1">
        <f t="shared" si="34"/>
        <v>0</v>
      </c>
      <c r="M67" s="1">
        <f t="shared" si="35"/>
        <v>0</v>
      </c>
      <c r="N67" s="1">
        <f t="shared" si="36"/>
        <v>0</v>
      </c>
      <c r="P67">
        <f t="shared" si="37"/>
        <v>0</v>
      </c>
      <c r="Q67" s="1">
        <f t="shared" si="38"/>
        <v>0</v>
      </c>
      <c r="R67">
        <f t="shared" si="39"/>
        <v>0</v>
      </c>
      <c r="S67">
        <f t="shared" si="40"/>
        <v>0</v>
      </c>
      <c r="T67">
        <f t="shared" si="41"/>
        <v>0</v>
      </c>
      <c r="U67">
        <f t="shared" si="42"/>
        <v>0</v>
      </c>
      <c r="V67">
        <f t="shared" si="43"/>
        <v>0</v>
      </c>
      <c r="W67">
        <f t="shared" si="44"/>
        <v>0</v>
      </c>
      <c r="X67">
        <f t="shared" si="45"/>
        <v>0</v>
      </c>
      <c r="Y67">
        <f t="shared" si="23"/>
        <v>0</v>
      </c>
      <c r="Z67">
        <f t="shared" si="24"/>
        <v>0</v>
      </c>
    </row>
    <row r="68" spans="1:26" x14ac:dyDescent="0.25">
      <c r="A68" t="str">
        <f t="shared" si="25"/>
        <v>Audio</v>
      </c>
      <c r="B68" t="str">
        <f t="shared" si="26"/>
        <v xml:space="preserve">Audio </v>
      </c>
      <c r="C68" t="s">
        <v>294</v>
      </c>
      <c r="D68" s="1">
        <f t="shared" si="27"/>
        <v>0</v>
      </c>
      <c r="E68" s="1">
        <f t="shared" si="28"/>
        <v>0</v>
      </c>
      <c r="F68" s="1">
        <f t="shared" si="29"/>
        <v>0</v>
      </c>
      <c r="H68" s="1">
        <f t="shared" si="30"/>
        <v>0</v>
      </c>
      <c r="I68" s="1">
        <f t="shared" si="31"/>
        <v>0</v>
      </c>
      <c r="J68" s="1">
        <f t="shared" si="32"/>
        <v>0</v>
      </c>
      <c r="K68" s="1">
        <f t="shared" si="33"/>
        <v>0</v>
      </c>
      <c r="L68" s="1">
        <f t="shared" si="34"/>
        <v>0</v>
      </c>
      <c r="M68" s="1">
        <f t="shared" si="35"/>
        <v>0</v>
      </c>
      <c r="N68" s="1">
        <f t="shared" si="36"/>
        <v>0</v>
      </c>
      <c r="P68">
        <f t="shared" si="37"/>
        <v>0</v>
      </c>
      <c r="Q68" s="1">
        <f t="shared" si="38"/>
        <v>0</v>
      </c>
      <c r="R68">
        <f t="shared" si="39"/>
        <v>0</v>
      </c>
      <c r="S68">
        <f t="shared" si="40"/>
        <v>0</v>
      </c>
      <c r="T68">
        <f t="shared" si="41"/>
        <v>0</v>
      </c>
      <c r="U68">
        <f t="shared" si="42"/>
        <v>0</v>
      </c>
      <c r="V68">
        <f t="shared" si="43"/>
        <v>0</v>
      </c>
      <c r="W68">
        <f t="shared" si="44"/>
        <v>0</v>
      </c>
      <c r="X68">
        <f t="shared" si="45"/>
        <v>0</v>
      </c>
      <c r="Y68">
        <f t="shared" si="23"/>
        <v>0</v>
      </c>
      <c r="Z68">
        <f t="shared" si="24"/>
        <v>0</v>
      </c>
    </row>
    <row r="69" spans="1:26" x14ac:dyDescent="0.25">
      <c r="A69" t="str">
        <f t="shared" si="25"/>
        <v>Audio</v>
      </c>
      <c r="B69" t="str">
        <f t="shared" si="26"/>
        <v>NCH Dictation Audio</v>
      </c>
      <c r="C69" t="s">
        <v>233</v>
      </c>
      <c r="D69" s="1">
        <f t="shared" si="27"/>
        <v>0</v>
      </c>
      <c r="E69" s="1">
        <f t="shared" si="28"/>
        <v>0</v>
      </c>
      <c r="F69" s="1">
        <f t="shared" si="29"/>
        <v>0</v>
      </c>
      <c r="H69" s="1">
        <f t="shared" si="30"/>
        <v>0</v>
      </c>
      <c r="I69" s="1">
        <f t="shared" si="31"/>
        <v>0</v>
      </c>
      <c r="J69" s="1">
        <f t="shared" si="32"/>
        <v>0</v>
      </c>
      <c r="K69" s="1">
        <f t="shared" si="33"/>
        <v>0</v>
      </c>
      <c r="L69" s="1">
        <f t="shared" si="34"/>
        <v>0</v>
      </c>
      <c r="M69" s="1">
        <f t="shared" si="35"/>
        <v>0</v>
      </c>
      <c r="N69" s="1">
        <f t="shared" si="36"/>
        <v>0</v>
      </c>
      <c r="P69">
        <f t="shared" si="37"/>
        <v>0</v>
      </c>
      <c r="Q69" s="1">
        <f t="shared" si="38"/>
        <v>0</v>
      </c>
      <c r="R69">
        <f t="shared" si="39"/>
        <v>0</v>
      </c>
      <c r="S69">
        <f t="shared" si="40"/>
        <v>0</v>
      </c>
      <c r="T69">
        <f t="shared" si="41"/>
        <v>0</v>
      </c>
      <c r="U69">
        <f t="shared" si="42"/>
        <v>0</v>
      </c>
      <c r="V69">
        <f t="shared" si="43"/>
        <v>0</v>
      </c>
      <c r="W69">
        <f t="shared" si="44"/>
        <v>0</v>
      </c>
      <c r="X69">
        <f t="shared" si="45"/>
        <v>0</v>
      </c>
      <c r="Y69">
        <f t="shared" si="23"/>
        <v>0</v>
      </c>
      <c r="Z69">
        <f t="shared" si="24"/>
        <v>0</v>
      </c>
    </row>
    <row r="70" spans="1:26" x14ac:dyDescent="0.25">
      <c r="A70" t="str">
        <f t="shared" si="25"/>
        <v>Audio</v>
      </c>
      <c r="B70" t="str">
        <f t="shared" si="26"/>
        <v>Free Lossless Audio Codec</v>
      </c>
      <c r="C70" t="s">
        <v>291</v>
      </c>
      <c r="D70" s="1">
        <f t="shared" si="27"/>
        <v>0</v>
      </c>
      <c r="E70" s="1">
        <f t="shared" si="28"/>
        <v>0</v>
      </c>
      <c r="F70" s="1">
        <f t="shared" si="29"/>
        <v>0</v>
      </c>
      <c r="H70" s="1">
        <f t="shared" si="30"/>
        <v>0</v>
      </c>
      <c r="I70" s="1">
        <f t="shared" si="31"/>
        <v>0</v>
      </c>
      <c r="J70" s="1">
        <f t="shared" si="32"/>
        <v>0</v>
      </c>
      <c r="K70" s="1">
        <f t="shared" si="33"/>
        <v>0</v>
      </c>
      <c r="L70" s="1">
        <f t="shared" si="34"/>
        <v>0</v>
      </c>
      <c r="M70" s="1">
        <f t="shared" si="35"/>
        <v>0</v>
      </c>
      <c r="N70" s="1">
        <f t="shared" si="36"/>
        <v>0</v>
      </c>
      <c r="P70">
        <f t="shared" si="37"/>
        <v>0</v>
      </c>
      <c r="Q70" s="1">
        <f t="shared" si="38"/>
        <v>0</v>
      </c>
      <c r="R70">
        <f t="shared" si="39"/>
        <v>0</v>
      </c>
      <c r="S70">
        <f t="shared" si="40"/>
        <v>0</v>
      </c>
      <c r="T70">
        <f t="shared" si="41"/>
        <v>0</v>
      </c>
      <c r="U70">
        <f t="shared" si="42"/>
        <v>0</v>
      </c>
      <c r="V70">
        <f t="shared" si="43"/>
        <v>0</v>
      </c>
      <c r="W70">
        <f t="shared" si="44"/>
        <v>0</v>
      </c>
      <c r="X70">
        <f t="shared" si="45"/>
        <v>0</v>
      </c>
    </row>
    <row r="71" spans="1:26" x14ac:dyDescent="0.25">
      <c r="A71" t="str">
        <f t="shared" si="25"/>
        <v>Audio</v>
      </c>
      <c r="B71" t="str">
        <f t="shared" si="26"/>
        <v>Apple Audio</v>
      </c>
      <c r="C71" t="s">
        <v>293</v>
      </c>
      <c r="D71" s="1">
        <f t="shared" si="27"/>
        <v>0</v>
      </c>
      <c r="E71" s="1">
        <f t="shared" si="28"/>
        <v>0</v>
      </c>
      <c r="F71" s="1">
        <f t="shared" si="29"/>
        <v>0</v>
      </c>
      <c r="H71" s="1">
        <f t="shared" si="30"/>
        <v>0</v>
      </c>
      <c r="I71" s="1">
        <f t="shared" si="31"/>
        <v>0</v>
      </c>
      <c r="J71" s="1">
        <f t="shared" si="32"/>
        <v>0</v>
      </c>
      <c r="K71" s="1">
        <f t="shared" si="33"/>
        <v>0</v>
      </c>
      <c r="L71" s="1">
        <f t="shared" si="34"/>
        <v>0</v>
      </c>
      <c r="M71" s="1">
        <f t="shared" si="35"/>
        <v>0</v>
      </c>
      <c r="N71" s="1">
        <f t="shared" si="36"/>
        <v>0</v>
      </c>
      <c r="P71">
        <f t="shared" si="37"/>
        <v>0</v>
      </c>
      <c r="Q71" s="1">
        <f t="shared" si="38"/>
        <v>0</v>
      </c>
      <c r="R71">
        <f t="shared" si="39"/>
        <v>0</v>
      </c>
      <c r="S71">
        <f t="shared" si="40"/>
        <v>0</v>
      </c>
      <c r="T71">
        <f t="shared" si="41"/>
        <v>0</v>
      </c>
      <c r="U71">
        <f t="shared" si="42"/>
        <v>0</v>
      </c>
      <c r="V71">
        <f t="shared" si="43"/>
        <v>0</v>
      </c>
      <c r="W71">
        <f t="shared" si="44"/>
        <v>0</v>
      </c>
      <c r="X71">
        <f t="shared" si="45"/>
        <v>0</v>
      </c>
      <c r="Y71">
        <f t="shared" ref="Y71:Y102" si="46">COUNTIFS(Exts,C71,Age,"&gt;=15")</f>
        <v>0</v>
      </c>
      <c r="Z71">
        <f t="shared" ref="Z71:Z102" si="47">COUNTIFS(Exts,C71,Age,"&gt;=20")</f>
        <v>0</v>
      </c>
    </row>
    <row r="72" spans="1:26" x14ac:dyDescent="0.25">
      <c r="A72" t="str">
        <f t="shared" si="25"/>
        <v>Audio</v>
      </c>
      <c r="B72" t="str">
        <f t="shared" si="26"/>
        <v>MIDI</v>
      </c>
      <c r="C72" t="s">
        <v>247</v>
      </c>
      <c r="D72" s="1">
        <f t="shared" si="27"/>
        <v>0</v>
      </c>
      <c r="E72" s="1">
        <f t="shared" si="28"/>
        <v>0</v>
      </c>
      <c r="F72" s="1">
        <f t="shared" si="29"/>
        <v>0</v>
      </c>
      <c r="H72" s="1">
        <f t="shared" si="30"/>
        <v>0</v>
      </c>
      <c r="I72" s="1">
        <f t="shared" si="31"/>
        <v>0</v>
      </c>
      <c r="J72" s="1">
        <f t="shared" si="32"/>
        <v>0</v>
      </c>
      <c r="K72" s="1">
        <f t="shared" si="33"/>
        <v>0</v>
      </c>
      <c r="L72" s="1">
        <f t="shared" si="34"/>
        <v>0</v>
      </c>
      <c r="M72" s="1">
        <f t="shared" si="35"/>
        <v>0</v>
      </c>
      <c r="N72" s="1">
        <f t="shared" si="36"/>
        <v>0</v>
      </c>
      <c r="P72">
        <f t="shared" si="37"/>
        <v>0</v>
      </c>
      <c r="Q72" s="1">
        <f t="shared" si="38"/>
        <v>0</v>
      </c>
      <c r="R72">
        <f t="shared" si="39"/>
        <v>0</v>
      </c>
      <c r="S72">
        <f t="shared" si="40"/>
        <v>0</v>
      </c>
      <c r="T72">
        <f t="shared" si="41"/>
        <v>0</v>
      </c>
      <c r="U72">
        <f t="shared" si="42"/>
        <v>0</v>
      </c>
      <c r="V72">
        <f t="shared" si="43"/>
        <v>0</v>
      </c>
      <c r="W72">
        <f t="shared" si="44"/>
        <v>0</v>
      </c>
      <c r="X72">
        <f t="shared" si="45"/>
        <v>0</v>
      </c>
      <c r="Y72">
        <f t="shared" si="46"/>
        <v>0</v>
      </c>
      <c r="Z72">
        <f t="shared" si="47"/>
        <v>0</v>
      </c>
    </row>
    <row r="73" spans="1:26" x14ac:dyDescent="0.25">
      <c r="A73" t="str">
        <f t="shared" si="25"/>
        <v>Audio</v>
      </c>
      <c r="B73" t="str">
        <f t="shared" si="26"/>
        <v>Compressed audio</v>
      </c>
      <c r="C73" t="s">
        <v>222</v>
      </c>
      <c r="D73" s="1">
        <f t="shared" si="27"/>
        <v>0</v>
      </c>
      <c r="E73" s="1">
        <f t="shared" si="28"/>
        <v>0</v>
      </c>
      <c r="F73" s="1">
        <f t="shared" si="29"/>
        <v>0</v>
      </c>
      <c r="H73" s="1">
        <f t="shared" si="30"/>
        <v>0</v>
      </c>
      <c r="I73" s="1">
        <f t="shared" si="31"/>
        <v>0</v>
      </c>
      <c r="J73" s="1">
        <f t="shared" si="32"/>
        <v>0</v>
      </c>
      <c r="K73" s="1">
        <f t="shared" si="33"/>
        <v>0</v>
      </c>
      <c r="L73" s="1">
        <f t="shared" si="34"/>
        <v>0</v>
      </c>
      <c r="M73" s="1">
        <f t="shared" si="35"/>
        <v>0</v>
      </c>
      <c r="N73" s="1">
        <f t="shared" si="36"/>
        <v>0</v>
      </c>
      <c r="P73">
        <f t="shared" si="37"/>
        <v>0</v>
      </c>
      <c r="Q73" s="1">
        <f t="shared" si="38"/>
        <v>0</v>
      </c>
      <c r="R73">
        <f t="shared" si="39"/>
        <v>0</v>
      </c>
      <c r="S73">
        <f t="shared" si="40"/>
        <v>0</v>
      </c>
      <c r="T73">
        <f t="shared" si="41"/>
        <v>0</v>
      </c>
      <c r="U73">
        <f t="shared" si="42"/>
        <v>0</v>
      </c>
      <c r="V73">
        <f t="shared" si="43"/>
        <v>0</v>
      </c>
      <c r="W73">
        <f t="shared" si="44"/>
        <v>0</v>
      </c>
      <c r="X73">
        <f t="shared" si="45"/>
        <v>0</v>
      </c>
      <c r="Y73">
        <f t="shared" si="46"/>
        <v>0</v>
      </c>
      <c r="Z73">
        <f t="shared" si="47"/>
        <v>0</v>
      </c>
    </row>
    <row r="74" spans="1:26" x14ac:dyDescent="0.25">
      <c r="A74" t="str">
        <f t="shared" si="25"/>
        <v>Audio</v>
      </c>
      <c r="B74" t="str">
        <f t="shared" si="26"/>
        <v>MPEG 2 Audio</v>
      </c>
      <c r="C74" t="s">
        <v>189</v>
      </c>
      <c r="D74" s="1">
        <f t="shared" si="27"/>
        <v>0</v>
      </c>
      <c r="E74" s="1">
        <f t="shared" si="28"/>
        <v>0</v>
      </c>
      <c r="F74" s="1">
        <f t="shared" si="29"/>
        <v>0</v>
      </c>
      <c r="H74" s="1">
        <f t="shared" si="30"/>
        <v>0</v>
      </c>
      <c r="I74" s="1">
        <f t="shared" si="31"/>
        <v>0</v>
      </c>
      <c r="J74" s="1">
        <f t="shared" si="32"/>
        <v>0</v>
      </c>
      <c r="K74" s="1">
        <f t="shared" si="33"/>
        <v>0</v>
      </c>
      <c r="L74" s="1">
        <f t="shared" si="34"/>
        <v>0</v>
      </c>
      <c r="M74" s="1">
        <f t="shared" si="35"/>
        <v>0</v>
      </c>
      <c r="N74" s="1">
        <f t="shared" si="36"/>
        <v>0</v>
      </c>
      <c r="P74">
        <f t="shared" si="37"/>
        <v>0</v>
      </c>
      <c r="Q74" s="1">
        <f t="shared" si="38"/>
        <v>0</v>
      </c>
      <c r="R74">
        <f t="shared" si="39"/>
        <v>0</v>
      </c>
      <c r="S74">
        <f t="shared" si="40"/>
        <v>0</v>
      </c>
      <c r="T74">
        <f t="shared" si="41"/>
        <v>0</v>
      </c>
      <c r="U74">
        <f t="shared" si="42"/>
        <v>0</v>
      </c>
      <c r="V74">
        <f t="shared" si="43"/>
        <v>0</v>
      </c>
      <c r="W74">
        <f t="shared" si="44"/>
        <v>0</v>
      </c>
      <c r="X74">
        <f t="shared" si="45"/>
        <v>0</v>
      </c>
      <c r="Y74">
        <f t="shared" si="46"/>
        <v>0</v>
      </c>
      <c r="Z74">
        <f t="shared" si="47"/>
        <v>0</v>
      </c>
    </row>
    <row r="75" spans="1:26" x14ac:dyDescent="0.25">
      <c r="A75" t="str">
        <f t="shared" si="25"/>
        <v>Audio</v>
      </c>
      <c r="B75" t="str">
        <f t="shared" si="26"/>
        <v>Ogg Vorbis Audio</v>
      </c>
      <c r="C75" t="s">
        <v>292</v>
      </c>
      <c r="D75" s="1">
        <f t="shared" si="27"/>
        <v>0</v>
      </c>
      <c r="E75" s="1">
        <f t="shared" si="28"/>
        <v>0</v>
      </c>
      <c r="F75" s="1">
        <f t="shared" si="29"/>
        <v>0</v>
      </c>
      <c r="H75" s="1">
        <f t="shared" si="30"/>
        <v>0</v>
      </c>
      <c r="I75" s="1">
        <f t="shared" si="31"/>
        <v>0</v>
      </c>
      <c r="J75" s="1">
        <f t="shared" si="32"/>
        <v>0</v>
      </c>
      <c r="K75" s="1">
        <f t="shared" si="33"/>
        <v>0</v>
      </c>
      <c r="L75" s="1">
        <f t="shared" si="34"/>
        <v>0</v>
      </c>
      <c r="M75" s="1">
        <f t="shared" si="35"/>
        <v>0</v>
      </c>
      <c r="N75" s="1">
        <f t="shared" si="36"/>
        <v>0</v>
      </c>
      <c r="P75">
        <f t="shared" si="37"/>
        <v>0</v>
      </c>
      <c r="Q75" s="1">
        <f t="shared" si="38"/>
        <v>0</v>
      </c>
      <c r="R75">
        <f t="shared" si="39"/>
        <v>0</v>
      </c>
      <c r="S75">
        <f t="shared" si="40"/>
        <v>0</v>
      </c>
      <c r="T75">
        <f t="shared" si="41"/>
        <v>0</v>
      </c>
      <c r="U75">
        <f t="shared" si="42"/>
        <v>0</v>
      </c>
      <c r="V75">
        <f t="shared" si="43"/>
        <v>0</v>
      </c>
      <c r="W75">
        <f t="shared" si="44"/>
        <v>0</v>
      </c>
      <c r="X75">
        <f t="shared" si="45"/>
        <v>0</v>
      </c>
      <c r="Y75">
        <f t="shared" si="46"/>
        <v>0</v>
      </c>
      <c r="Z75">
        <f t="shared" si="47"/>
        <v>0</v>
      </c>
    </row>
    <row r="76" spans="1:26" x14ac:dyDescent="0.25">
      <c r="A76" t="str">
        <f t="shared" si="25"/>
        <v>Audio</v>
      </c>
      <c r="B76" t="str">
        <f t="shared" si="26"/>
        <v>Real Audio</v>
      </c>
      <c r="C76" t="s">
        <v>341</v>
      </c>
      <c r="D76" s="1">
        <f t="shared" si="27"/>
        <v>0</v>
      </c>
      <c r="E76" s="1">
        <f t="shared" si="28"/>
        <v>0</v>
      </c>
      <c r="F76" s="1">
        <f t="shared" si="29"/>
        <v>0</v>
      </c>
      <c r="H76" s="1">
        <f t="shared" si="30"/>
        <v>0</v>
      </c>
      <c r="I76" s="1">
        <f t="shared" si="31"/>
        <v>0</v>
      </c>
      <c r="J76" s="1">
        <f t="shared" si="32"/>
        <v>0</v>
      </c>
      <c r="K76" s="1">
        <f t="shared" si="33"/>
        <v>0</v>
      </c>
      <c r="L76" s="1">
        <f t="shared" si="34"/>
        <v>0</v>
      </c>
      <c r="M76" s="1">
        <f t="shared" si="35"/>
        <v>0</v>
      </c>
      <c r="N76" s="1">
        <f t="shared" si="36"/>
        <v>0</v>
      </c>
      <c r="P76">
        <f t="shared" si="37"/>
        <v>0</v>
      </c>
      <c r="Q76" s="1">
        <f t="shared" si="38"/>
        <v>0</v>
      </c>
      <c r="R76">
        <f t="shared" si="39"/>
        <v>0</v>
      </c>
      <c r="S76">
        <f t="shared" si="40"/>
        <v>0</v>
      </c>
      <c r="T76">
        <f t="shared" si="41"/>
        <v>0</v>
      </c>
      <c r="U76">
        <f t="shared" si="42"/>
        <v>0</v>
      </c>
      <c r="V76">
        <f t="shared" si="43"/>
        <v>0</v>
      </c>
      <c r="W76">
        <f t="shared" si="44"/>
        <v>0</v>
      </c>
      <c r="X76">
        <f t="shared" si="45"/>
        <v>0</v>
      </c>
      <c r="Y76">
        <f t="shared" si="46"/>
        <v>0</v>
      </c>
      <c r="Z76">
        <f t="shared" si="47"/>
        <v>0</v>
      </c>
    </row>
    <row r="77" spans="1:26" x14ac:dyDescent="0.25">
      <c r="A77" t="str">
        <f t="shared" si="25"/>
        <v>Audio</v>
      </c>
      <c r="B77" t="str">
        <f t="shared" si="26"/>
        <v>Real Audio</v>
      </c>
      <c r="C77" t="s">
        <v>197</v>
      </c>
      <c r="D77" s="1">
        <f t="shared" si="27"/>
        <v>0</v>
      </c>
      <c r="E77" s="1">
        <f t="shared" si="28"/>
        <v>0</v>
      </c>
      <c r="F77" s="1">
        <f t="shared" si="29"/>
        <v>0</v>
      </c>
      <c r="H77" s="1">
        <f t="shared" si="30"/>
        <v>0</v>
      </c>
      <c r="I77" s="1">
        <f t="shared" si="31"/>
        <v>0</v>
      </c>
      <c r="J77" s="1">
        <f t="shared" si="32"/>
        <v>0</v>
      </c>
      <c r="K77" s="1">
        <f t="shared" si="33"/>
        <v>0</v>
      </c>
      <c r="L77" s="1">
        <f t="shared" si="34"/>
        <v>0</v>
      </c>
      <c r="M77" s="1">
        <f t="shared" si="35"/>
        <v>0</v>
      </c>
      <c r="N77" s="1">
        <f t="shared" si="36"/>
        <v>0</v>
      </c>
      <c r="P77">
        <f t="shared" si="37"/>
        <v>0</v>
      </c>
      <c r="Q77" s="1">
        <f t="shared" si="38"/>
        <v>0</v>
      </c>
      <c r="R77">
        <f t="shared" si="39"/>
        <v>0</v>
      </c>
      <c r="S77">
        <f t="shared" si="40"/>
        <v>0</v>
      </c>
      <c r="T77">
        <f t="shared" si="41"/>
        <v>0</v>
      </c>
      <c r="U77">
        <f t="shared" si="42"/>
        <v>0</v>
      </c>
      <c r="V77">
        <f t="shared" si="43"/>
        <v>0</v>
      </c>
      <c r="W77">
        <f t="shared" si="44"/>
        <v>0</v>
      </c>
      <c r="X77">
        <f t="shared" si="45"/>
        <v>0</v>
      </c>
      <c r="Y77">
        <f t="shared" si="46"/>
        <v>0</v>
      </c>
      <c r="Z77">
        <f t="shared" si="47"/>
        <v>0</v>
      </c>
    </row>
    <row r="78" spans="1:26" x14ac:dyDescent="0.25">
      <c r="A78" t="str">
        <f t="shared" si="25"/>
        <v>Audio</v>
      </c>
      <c r="B78" t="str">
        <f t="shared" si="26"/>
        <v xml:space="preserve">Wave Audio </v>
      </c>
      <c r="C78" t="s">
        <v>290</v>
      </c>
      <c r="D78" s="1">
        <f t="shared" si="27"/>
        <v>0</v>
      </c>
      <c r="E78" s="1">
        <f t="shared" si="28"/>
        <v>0</v>
      </c>
      <c r="F78" s="1">
        <f t="shared" si="29"/>
        <v>0</v>
      </c>
      <c r="H78" s="1">
        <f t="shared" si="30"/>
        <v>0</v>
      </c>
      <c r="I78" s="1">
        <f t="shared" si="31"/>
        <v>0</v>
      </c>
      <c r="J78" s="1">
        <f t="shared" si="32"/>
        <v>0</v>
      </c>
      <c r="K78" s="1">
        <f t="shared" si="33"/>
        <v>0</v>
      </c>
      <c r="L78" s="1">
        <f t="shared" si="34"/>
        <v>0</v>
      </c>
      <c r="M78" s="1">
        <f t="shared" si="35"/>
        <v>0</v>
      </c>
      <c r="N78" s="1">
        <f t="shared" si="36"/>
        <v>0</v>
      </c>
      <c r="P78">
        <f t="shared" si="37"/>
        <v>0</v>
      </c>
      <c r="Q78" s="1">
        <f t="shared" si="38"/>
        <v>0</v>
      </c>
      <c r="R78">
        <f t="shared" si="39"/>
        <v>0</v>
      </c>
      <c r="S78">
        <f t="shared" si="40"/>
        <v>0</v>
      </c>
      <c r="T78">
        <f t="shared" si="41"/>
        <v>0</v>
      </c>
      <c r="U78">
        <f t="shared" si="42"/>
        <v>0</v>
      </c>
      <c r="V78">
        <f t="shared" si="43"/>
        <v>0</v>
      </c>
      <c r="W78">
        <f t="shared" si="44"/>
        <v>0</v>
      </c>
      <c r="X78">
        <f t="shared" si="45"/>
        <v>0</v>
      </c>
      <c r="Y78">
        <f t="shared" si="46"/>
        <v>0</v>
      </c>
      <c r="Z78">
        <f t="shared" si="47"/>
        <v>0</v>
      </c>
    </row>
    <row r="79" spans="1:26" x14ac:dyDescent="0.25">
      <c r="A79" t="str">
        <f t="shared" si="25"/>
        <v>Audio</v>
      </c>
      <c r="B79" t="str">
        <f t="shared" si="26"/>
        <v>Windows Media Audio</v>
      </c>
      <c r="C79" t="s">
        <v>223</v>
      </c>
      <c r="D79" s="1">
        <f t="shared" si="27"/>
        <v>0</v>
      </c>
      <c r="E79" s="1">
        <f t="shared" si="28"/>
        <v>0</v>
      </c>
      <c r="F79" s="1">
        <f t="shared" si="29"/>
        <v>0</v>
      </c>
      <c r="H79" s="1">
        <f t="shared" si="30"/>
        <v>0</v>
      </c>
      <c r="I79" s="1">
        <f t="shared" si="31"/>
        <v>0</v>
      </c>
      <c r="J79" s="1">
        <f t="shared" si="32"/>
        <v>0</v>
      </c>
      <c r="K79" s="1">
        <f t="shared" si="33"/>
        <v>0</v>
      </c>
      <c r="L79" s="1">
        <f t="shared" si="34"/>
        <v>0</v>
      </c>
      <c r="M79" s="1">
        <f t="shared" si="35"/>
        <v>0</v>
      </c>
      <c r="N79" s="1">
        <f t="shared" si="36"/>
        <v>0</v>
      </c>
      <c r="P79">
        <f t="shared" si="37"/>
        <v>0</v>
      </c>
      <c r="Q79" s="1">
        <f t="shared" si="38"/>
        <v>0</v>
      </c>
      <c r="R79">
        <f t="shared" si="39"/>
        <v>0</v>
      </c>
      <c r="S79">
        <f t="shared" si="40"/>
        <v>0</v>
      </c>
      <c r="T79">
        <f t="shared" si="41"/>
        <v>0</v>
      </c>
      <c r="U79">
        <f t="shared" si="42"/>
        <v>0</v>
      </c>
      <c r="V79">
        <f t="shared" si="43"/>
        <v>0</v>
      </c>
      <c r="W79">
        <f t="shared" si="44"/>
        <v>0</v>
      </c>
      <c r="X79">
        <f t="shared" si="45"/>
        <v>0</v>
      </c>
      <c r="Y79">
        <f t="shared" si="46"/>
        <v>0</v>
      </c>
      <c r="Z79">
        <f t="shared" si="47"/>
        <v>0</v>
      </c>
    </row>
    <row r="80" spans="1:26" x14ac:dyDescent="0.25">
      <c r="A80" t="str">
        <f t="shared" si="25"/>
        <v>Content</v>
      </c>
      <c r="B80" t="str">
        <f t="shared" si="26"/>
        <v>Corel Photo Paint</v>
      </c>
      <c r="C80" t="s">
        <v>256</v>
      </c>
      <c r="D80" s="1">
        <f t="shared" si="27"/>
        <v>0</v>
      </c>
      <c r="E80" s="1">
        <f t="shared" si="28"/>
        <v>0</v>
      </c>
      <c r="F80" s="1">
        <f t="shared" si="29"/>
        <v>0</v>
      </c>
      <c r="H80" s="1">
        <f t="shared" si="30"/>
        <v>0</v>
      </c>
      <c r="I80" s="1">
        <f t="shared" si="31"/>
        <v>0</v>
      </c>
      <c r="J80" s="1">
        <f t="shared" si="32"/>
        <v>0</v>
      </c>
      <c r="K80" s="1">
        <f t="shared" si="33"/>
        <v>0</v>
      </c>
      <c r="L80" s="1">
        <f t="shared" si="34"/>
        <v>0</v>
      </c>
      <c r="M80" s="1">
        <f t="shared" si="35"/>
        <v>0</v>
      </c>
      <c r="N80" s="1">
        <f t="shared" si="36"/>
        <v>0</v>
      </c>
      <c r="P80">
        <f t="shared" si="37"/>
        <v>0</v>
      </c>
      <c r="Q80" s="1">
        <f t="shared" si="38"/>
        <v>0</v>
      </c>
      <c r="R80">
        <f t="shared" si="39"/>
        <v>0</v>
      </c>
      <c r="S80">
        <f t="shared" si="40"/>
        <v>0</v>
      </c>
      <c r="T80">
        <f t="shared" si="41"/>
        <v>0</v>
      </c>
      <c r="U80">
        <f t="shared" si="42"/>
        <v>0</v>
      </c>
      <c r="V80">
        <f t="shared" si="43"/>
        <v>0</v>
      </c>
      <c r="W80">
        <f t="shared" si="44"/>
        <v>0</v>
      </c>
      <c r="X80">
        <f t="shared" si="45"/>
        <v>0</v>
      </c>
      <c r="Y80">
        <f t="shared" si="46"/>
        <v>0</v>
      </c>
      <c r="Z80">
        <f t="shared" si="47"/>
        <v>0</v>
      </c>
    </row>
    <row r="81" spans="1:26" x14ac:dyDescent="0.25">
      <c r="A81" t="str">
        <f t="shared" si="25"/>
        <v>Content</v>
      </c>
      <c r="B81" t="str">
        <f t="shared" si="26"/>
        <v xml:space="preserve">Microsoft Word </v>
      </c>
      <c r="C81" t="s">
        <v>148</v>
      </c>
      <c r="D81" s="1">
        <f t="shared" si="27"/>
        <v>0</v>
      </c>
      <c r="E81" s="1">
        <f t="shared" si="28"/>
        <v>0</v>
      </c>
      <c r="F81" s="1">
        <f t="shared" si="29"/>
        <v>0</v>
      </c>
      <c r="H81" s="1">
        <f t="shared" si="30"/>
        <v>0</v>
      </c>
      <c r="I81" s="1">
        <f t="shared" si="31"/>
        <v>0</v>
      </c>
      <c r="J81" s="1">
        <f t="shared" si="32"/>
        <v>0</v>
      </c>
      <c r="K81" s="1">
        <f t="shared" si="33"/>
        <v>0</v>
      </c>
      <c r="L81" s="1">
        <f t="shared" si="34"/>
        <v>0</v>
      </c>
      <c r="M81" s="1">
        <f t="shared" si="35"/>
        <v>0</v>
      </c>
      <c r="N81" s="1">
        <f t="shared" si="36"/>
        <v>0</v>
      </c>
      <c r="P81">
        <f t="shared" si="37"/>
        <v>0</v>
      </c>
      <c r="Q81" s="1">
        <f t="shared" si="38"/>
        <v>0</v>
      </c>
      <c r="R81">
        <f t="shared" si="39"/>
        <v>0</v>
      </c>
      <c r="S81">
        <f t="shared" si="40"/>
        <v>0</v>
      </c>
      <c r="T81">
        <f t="shared" si="41"/>
        <v>0</v>
      </c>
      <c r="U81">
        <f t="shared" si="42"/>
        <v>0</v>
      </c>
      <c r="V81">
        <f t="shared" si="43"/>
        <v>0</v>
      </c>
      <c r="W81">
        <f t="shared" si="44"/>
        <v>0</v>
      </c>
      <c r="X81">
        <f t="shared" si="45"/>
        <v>0</v>
      </c>
      <c r="Y81">
        <f t="shared" si="46"/>
        <v>0</v>
      </c>
      <c r="Z81">
        <f t="shared" si="47"/>
        <v>0</v>
      </c>
    </row>
    <row r="82" spans="1:26" x14ac:dyDescent="0.25">
      <c r="A82" t="str">
        <f t="shared" si="25"/>
        <v>Content</v>
      </c>
      <c r="B82" t="str">
        <f t="shared" si="26"/>
        <v xml:space="preserve">Microsoft Word </v>
      </c>
      <c r="C82" t="s">
        <v>176</v>
      </c>
      <c r="D82" s="1">
        <f t="shared" si="27"/>
        <v>0</v>
      </c>
      <c r="E82" s="1">
        <f t="shared" si="28"/>
        <v>0</v>
      </c>
      <c r="F82" s="1">
        <f t="shared" si="29"/>
        <v>0</v>
      </c>
      <c r="H82" s="1">
        <f t="shared" si="30"/>
        <v>0</v>
      </c>
      <c r="I82" s="1">
        <f t="shared" si="31"/>
        <v>0</v>
      </c>
      <c r="J82" s="1">
        <f t="shared" si="32"/>
        <v>0</v>
      </c>
      <c r="K82" s="1">
        <f t="shared" si="33"/>
        <v>0</v>
      </c>
      <c r="L82" s="1">
        <f t="shared" si="34"/>
        <v>0</v>
      </c>
      <c r="M82" s="1">
        <f t="shared" si="35"/>
        <v>0</v>
      </c>
      <c r="N82" s="1">
        <f t="shared" si="36"/>
        <v>0</v>
      </c>
      <c r="P82">
        <f t="shared" si="37"/>
        <v>0</v>
      </c>
      <c r="Q82" s="1">
        <f t="shared" si="38"/>
        <v>0</v>
      </c>
      <c r="R82">
        <f t="shared" si="39"/>
        <v>0</v>
      </c>
      <c r="S82">
        <f t="shared" si="40"/>
        <v>0</v>
      </c>
      <c r="T82">
        <f t="shared" si="41"/>
        <v>0</v>
      </c>
      <c r="U82">
        <f t="shared" si="42"/>
        <v>0</v>
      </c>
      <c r="V82">
        <f t="shared" si="43"/>
        <v>0</v>
      </c>
      <c r="W82">
        <f t="shared" si="44"/>
        <v>0</v>
      </c>
      <c r="X82">
        <f t="shared" si="45"/>
        <v>0</v>
      </c>
      <c r="Y82">
        <f t="shared" si="46"/>
        <v>0</v>
      </c>
      <c r="Z82">
        <f t="shared" si="47"/>
        <v>0</v>
      </c>
    </row>
    <row r="83" spans="1:26" x14ac:dyDescent="0.25">
      <c r="A83" t="str">
        <f t="shared" si="25"/>
        <v>Content</v>
      </c>
      <c r="B83" t="str">
        <f t="shared" si="26"/>
        <v xml:space="preserve">Microsoft Word </v>
      </c>
      <c r="C83" t="s">
        <v>149</v>
      </c>
      <c r="D83" s="1">
        <f t="shared" si="27"/>
        <v>0</v>
      </c>
      <c r="E83" s="1">
        <f t="shared" si="28"/>
        <v>0</v>
      </c>
      <c r="F83" s="1">
        <f t="shared" si="29"/>
        <v>0</v>
      </c>
      <c r="H83" s="1">
        <f t="shared" si="30"/>
        <v>0</v>
      </c>
      <c r="I83" s="1">
        <f t="shared" si="31"/>
        <v>0</v>
      </c>
      <c r="J83" s="1">
        <f t="shared" si="32"/>
        <v>0</v>
      </c>
      <c r="K83" s="1">
        <f t="shared" si="33"/>
        <v>0</v>
      </c>
      <c r="L83" s="1">
        <f t="shared" si="34"/>
        <v>0</v>
      </c>
      <c r="M83" s="1">
        <f t="shared" si="35"/>
        <v>0</v>
      </c>
      <c r="N83" s="1">
        <f t="shared" si="36"/>
        <v>0</v>
      </c>
      <c r="P83">
        <f t="shared" si="37"/>
        <v>0</v>
      </c>
      <c r="Q83" s="1">
        <f t="shared" si="38"/>
        <v>0</v>
      </c>
      <c r="R83">
        <f t="shared" si="39"/>
        <v>0</v>
      </c>
      <c r="S83">
        <f t="shared" si="40"/>
        <v>0</v>
      </c>
      <c r="T83">
        <f t="shared" si="41"/>
        <v>0</v>
      </c>
      <c r="U83">
        <f t="shared" si="42"/>
        <v>0</v>
      </c>
      <c r="V83">
        <f t="shared" si="43"/>
        <v>0</v>
      </c>
      <c r="W83">
        <f t="shared" si="44"/>
        <v>0</v>
      </c>
      <c r="X83">
        <f t="shared" si="45"/>
        <v>0</v>
      </c>
      <c r="Y83">
        <f t="shared" si="46"/>
        <v>0</v>
      </c>
      <c r="Z83">
        <f t="shared" si="47"/>
        <v>0</v>
      </c>
    </row>
    <row r="84" spans="1:26" x14ac:dyDescent="0.25">
      <c r="A84" t="str">
        <f t="shared" si="25"/>
        <v>Content</v>
      </c>
      <c r="B84" t="str">
        <f t="shared" si="26"/>
        <v>Microsoft Word Template</v>
      </c>
      <c r="C84" t="s">
        <v>171</v>
      </c>
      <c r="D84" s="1">
        <f t="shared" si="27"/>
        <v>0</v>
      </c>
      <c r="E84" s="1">
        <f t="shared" si="28"/>
        <v>0</v>
      </c>
      <c r="F84" s="1">
        <f t="shared" si="29"/>
        <v>0</v>
      </c>
      <c r="H84" s="1">
        <f t="shared" si="30"/>
        <v>0</v>
      </c>
      <c r="I84" s="1">
        <f t="shared" si="31"/>
        <v>0</v>
      </c>
      <c r="J84" s="1">
        <f t="shared" si="32"/>
        <v>0</v>
      </c>
      <c r="K84" s="1">
        <f t="shared" si="33"/>
        <v>0</v>
      </c>
      <c r="L84" s="1">
        <f t="shared" si="34"/>
        <v>0</v>
      </c>
      <c r="M84" s="1">
        <f t="shared" si="35"/>
        <v>0</v>
      </c>
      <c r="N84" s="1">
        <f t="shared" si="36"/>
        <v>0</v>
      </c>
      <c r="P84">
        <f t="shared" si="37"/>
        <v>0</v>
      </c>
      <c r="Q84" s="1">
        <f t="shared" si="38"/>
        <v>0</v>
      </c>
      <c r="R84">
        <f t="shared" si="39"/>
        <v>0</v>
      </c>
      <c r="S84">
        <f t="shared" si="40"/>
        <v>0</v>
      </c>
      <c r="T84">
        <f t="shared" si="41"/>
        <v>0</v>
      </c>
      <c r="U84">
        <f t="shared" si="42"/>
        <v>0</v>
      </c>
      <c r="V84">
        <f t="shared" si="43"/>
        <v>0</v>
      </c>
      <c r="W84">
        <f t="shared" si="44"/>
        <v>0</v>
      </c>
      <c r="X84">
        <f t="shared" si="45"/>
        <v>0</v>
      </c>
      <c r="Y84">
        <f t="shared" si="46"/>
        <v>0</v>
      </c>
      <c r="Z84">
        <f t="shared" si="47"/>
        <v>0</v>
      </c>
    </row>
    <row r="85" spans="1:26" x14ac:dyDescent="0.25">
      <c r="A85" t="str">
        <f t="shared" si="25"/>
        <v>Content</v>
      </c>
      <c r="B85" t="str">
        <f t="shared" si="26"/>
        <v>Microsoft Word Template</v>
      </c>
      <c r="C85" t="s">
        <v>186</v>
      </c>
      <c r="D85" s="1">
        <f t="shared" si="27"/>
        <v>0</v>
      </c>
      <c r="E85" s="1">
        <f t="shared" si="28"/>
        <v>0</v>
      </c>
      <c r="F85" s="1">
        <f t="shared" si="29"/>
        <v>0</v>
      </c>
      <c r="H85" s="1">
        <f t="shared" si="30"/>
        <v>0</v>
      </c>
      <c r="I85" s="1">
        <f t="shared" si="31"/>
        <v>0</v>
      </c>
      <c r="J85" s="1">
        <f t="shared" si="32"/>
        <v>0</v>
      </c>
      <c r="K85" s="1">
        <f t="shared" si="33"/>
        <v>0</v>
      </c>
      <c r="L85" s="1">
        <f t="shared" si="34"/>
        <v>0</v>
      </c>
      <c r="M85" s="1">
        <f t="shared" si="35"/>
        <v>0</v>
      </c>
      <c r="N85" s="1">
        <f t="shared" si="36"/>
        <v>0</v>
      </c>
      <c r="P85">
        <f t="shared" si="37"/>
        <v>0</v>
      </c>
      <c r="Q85" s="1">
        <f t="shared" si="38"/>
        <v>0</v>
      </c>
      <c r="R85">
        <f t="shared" si="39"/>
        <v>0</v>
      </c>
      <c r="S85">
        <f t="shared" si="40"/>
        <v>0</v>
      </c>
      <c r="T85">
        <f t="shared" si="41"/>
        <v>0</v>
      </c>
      <c r="U85">
        <f t="shared" si="42"/>
        <v>0</v>
      </c>
      <c r="V85">
        <f t="shared" si="43"/>
        <v>0</v>
      </c>
      <c r="W85">
        <f t="shared" si="44"/>
        <v>0</v>
      </c>
      <c r="X85">
        <f t="shared" si="45"/>
        <v>0</v>
      </c>
      <c r="Y85">
        <f t="shared" si="46"/>
        <v>0</v>
      </c>
      <c r="Z85">
        <f t="shared" si="47"/>
        <v>0</v>
      </c>
    </row>
    <row r="86" spans="1:26" x14ac:dyDescent="0.25">
      <c r="A86" t="str">
        <f t="shared" si="25"/>
        <v>Content</v>
      </c>
      <c r="B86" t="str">
        <f t="shared" si="26"/>
        <v>AutoCAD</v>
      </c>
      <c r="C86" t="s">
        <v>295</v>
      </c>
      <c r="D86" s="1">
        <f t="shared" si="27"/>
        <v>0</v>
      </c>
      <c r="E86" s="1">
        <f t="shared" si="28"/>
        <v>0</v>
      </c>
      <c r="F86" s="1">
        <f t="shared" si="29"/>
        <v>0</v>
      </c>
      <c r="H86" s="1">
        <f t="shared" si="30"/>
        <v>0</v>
      </c>
      <c r="I86" s="1">
        <f t="shared" si="31"/>
        <v>0</v>
      </c>
      <c r="J86" s="1">
        <f t="shared" si="32"/>
        <v>0</v>
      </c>
      <c r="K86" s="1">
        <f t="shared" si="33"/>
        <v>0</v>
      </c>
      <c r="L86" s="1">
        <f t="shared" si="34"/>
        <v>0</v>
      </c>
      <c r="M86" s="1">
        <f t="shared" si="35"/>
        <v>0</v>
      </c>
      <c r="N86" s="1">
        <f t="shared" si="36"/>
        <v>0</v>
      </c>
      <c r="P86">
        <f t="shared" si="37"/>
        <v>0</v>
      </c>
      <c r="Q86" s="1">
        <f t="shared" si="38"/>
        <v>0</v>
      </c>
      <c r="R86">
        <f t="shared" si="39"/>
        <v>0</v>
      </c>
      <c r="S86">
        <f t="shared" si="40"/>
        <v>0</v>
      </c>
      <c r="T86">
        <f t="shared" si="41"/>
        <v>0</v>
      </c>
      <c r="U86">
        <f t="shared" si="42"/>
        <v>0</v>
      </c>
      <c r="V86">
        <f t="shared" si="43"/>
        <v>0</v>
      </c>
      <c r="W86">
        <f t="shared" si="44"/>
        <v>0</v>
      </c>
      <c r="X86">
        <f t="shared" si="45"/>
        <v>0</v>
      </c>
      <c r="Y86">
        <f t="shared" si="46"/>
        <v>0</v>
      </c>
      <c r="Z86">
        <f t="shared" si="47"/>
        <v>0</v>
      </c>
    </row>
    <row r="87" spans="1:26" x14ac:dyDescent="0.25">
      <c r="A87" t="str">
        <f t="shared" si="25"/>
        <v>Content</v>
      </c>
      <c r="B87" t="str">
        <f t="shared" si="26"/>
        <v>Public Key / Lotus Keynote Presentation</v>
      </c>
      <c r="C87" t="s">
        <v>389</v>
      </c>
      <c r="D87" s="1">
        <f t="shared" si="27"/>
        <v>0</v>
      </c>
      <c r="E87" s="1">
        <f t="shared" si="28"/>
        <v>0</v>
      </c>
      <c r="F87" s="1">
        <f t="shared" si="29"/>
        <v>0</v>
      </c>
      <c r="H87" s="1">
        <f t="shared" si="30"/>
        <v>0</v>
      </c>
      <c r="I87" s="1">
        <f t="shared" si="31"/>
        <v>0</v>
      </c>
      <c r="J87" s="1">
        <f t="shared" si="32"/>
        <v>0</v>
      </c>
      <c r="K87" s="1">
        <f t="shared" si="33"/>
        <v>0</v>
      </c>
      <c r="L87" s="1">
        <f t="shared" si="34"/>
        <v>0</v>
      </c>
      <c r="M87" s="1">
        <f t="shared" si="35"/>
        <v>0</v>
      </c>
      <c r="N87" s="1">
        <f t="shared" si="36"/>
        <v>0</v>
      </c>
      <c r="P87">
        <f t="shared" si="37"/>
        <v>0</v>
      </c>
      <c r="Q87" s="1">
        <f t="shared" si="38"/>
        <v>0</v>
      </c>
      <c r="R87">
        <f t="shared" si="39"/>
        <v>0</v>
      </c>
      <c r="S87">
        <f t="shared" si="40"/>
        <v>0</v>
      </c>
      <c r="T87">
        <f t="shared" si="41"/>
        <v>0</v>
      </c>
      <c r="U87">
        <f t="shared" si="42"/>
        <v>0</v>
      </c>
      <c r="V87">
        <f t="shared" si="43"/>
        <v>0</v>
      </c>
      <c r="W87">
        <f t="shared" si="44"/>
        <v>0</v>
      </c>
      <c r="X87">
        <f t="shared" si="45"/>
        <v>0</v>
      </c>
      <c r="Y87">
        <f t="shared" si="46"/>
        <v>0</v>
      </c>
      <c r="Z87">
        <f t="shared" si="47"/>
        <v>0</v>
      </c>
    </row>
    <row r="88" spans="1:26" x14ac:dyDescent="0.25">
      <c r="A88" t="str">
        <f t="shared" si="25"/>
        <v>Content</v>
      </c>
      <c r="B88" t="str">
        <f t="shared" si="26"/>
        <v xml:space="preserve">Mind Manager MindMap </v>
      </c>
      <c r="C88" t="s">
        <v>276</v>
      </c>
      <c r="D88" s="1">
        <f t="shared" si="27"/>
        <v>0</v>
      </c>
      <c r="E88" s="1">
        <f t="shared" si="28"/>
        <v>0</v>
      </c>
      <c r="F88" s="1">
        <f t="shared" si="29"/>
        <v>0</v>
      </c>
      <c r="H88" s="1">
        <f t="shared" si="30"/>
        <v>0</v>
      </c>
      <c r="I88" s="1">
        <f t="shared" si="31"/>
        <v>0</v>
      </c>
      <c r="J88" s="1">
        <f t="shared" si="32"/>
        <v>0</v>
      </c>
      <c r="K88" s="1">
        <f t="shared" si="33"/>
        <v>0</v>
      </c>
      <c r="L88" s="1">
        <f t="shared" si="34"/>
        <v>0</v>
      </c>
      <c r="M88" s="1">
        <f t="shared" si="35"/>
        <v>0</v>
      </c>
      <c r="N88" s="1">
        <f t="shared" si="36"/>
        <v>0</v>
      </c>
      <c r="P88">
        <f t="shared" si="37"/>
        <v>0</v>
      </c>
      <c r="Q88" s="1">
        <f t="shared" si="38"/>
        <v>0</v>
      </c>
      <c r="R88">
        <f t="shared" si="39"/>
        <v>0</v>
      </c>
      <c r="S88">
        <f t="shared" si="40"/>
        <v>0</v>
      </c>
      <c r="T88">
        <f t="shared" si="41"/>
        <v>0</v>
      </c>
      <c r="U88">
        <f t="shared" si="42"/>
        <v>0</v>
      </c>
      <c r="V88">
        <f t="shared" si="43"/>
        <v>0</v>
      </c>
      <c r="W88">
        <f t="shared" si="44"/>
        <v>0</v>
      </c>
      <c r="X88">
        <f t="shared" si="45"/>
        <v>0</v>
      </c>
      <c r="Y88">
        <f t="shared" si="46"/>
        <v>0</v>
      </c>
      <c r="Z88">
        <f t="shared" si="47"/>
        <v>0</v>
      </c>
    </row>
    <row r="89" spans="1:26" x14ac:dyDescent="0.25">
      <c r="A89" t="str">
        <f t="shared" si="25"/>
        <v>Content</v>
      </c>
      <c r="B89" t="str">
        <f t="shared" si="26"/>
        <v>Microsoft Project</v>
      </c>
      <c r="C89" t="s">
        <v>296</v>
      </c>
      <c r="D89" s="1">
        <f t="shared" si="27"/>
        <v>0</v>
      </c>
      <c r="E89" s="1">
        <f t="shared" si="28"/>
        <v>0</v>
      </c>
      <c r="F89" s="1">
        <f t="shared" si="29"/>
        <v>0</v>
      </c>
      <c r="H89" s="1">
        <f t="shared" si="30"/>
        <v>0</v>
      </c>
      <c r="I89" s="1">
        <f t="shared" si="31"/>
        <v>0</v>
      </c>
      <c r="J89" s="1">
        <f t="shared" si="32"/>
        <v>0</v>
      </c>
      <c r="K89" s="1">
        <f t="shared" si="33"/>
        <v>0</v>
      </c>
      <c r="L89" s="1">
        <f t="shared" si="34"/>
        <v>0</v>
      </c>
      <c r="M89" s="1">
        <f t="shared" si="35"/>
        <v>0</v>
      </c>
      <c r="N89" s="1">
        <f t="shared" si="36"/>
        <v>0</v>
      </c>
      <c r="P89">
        <f t="shared" si="37"/>
        <v>0</v>
      </c>
      <c r="Q89" s="1">
        <f t="shared" si="38"/>
        <v>0</v>
      </c>
      <c r="R89">
        <f t="shared" si="39"/>
        <v>0</v>
      </c>
      <c r="S89">
        <f t="shared" si="40"/>
        <v>0</v>
      </c>
      <c r="T89">
        <f t="shared" si="41"/>
        <v>0</v>
      </c>
      <c r="U89">
        <f t="shared" si="42"/>
        <v>0</v>
      </c>
      <c r="V89">
        <f t="shared" si="43"/>
        <v>0</v>
      </c>
      <c r="W89">
        <f t="shared" si="44"/>
        <v>0</v>
      </c>
      <c r="X89">
        <f t="shared" si="45"/>
        <v>0</v>
      </c>
      <c r="Y89">
        <f t="shared" si="46"/>
        <v>0</v>
      </c>
      <c r="Z89">
        <f t="shared" si="47"/>
        <v>0</v>
      </c>
    </row>
    <row r="90" spans="1:26" x14ac:dyDescent="0.25">
      <c r="A90" t="str">
        <f t="shared" si="25"/>
        <v>Content</v>
      </c>
      <c r="B90" t="str">
        <f t="shared" si="26"/>
        <v>Microsoft Project</v>
      </c>
      <c r="C90" t="s">
        <v>339</v>
      </c>
      <c r="D90" s="1">
        <f t="shared" si="27"/>
        <v>0</v>
      </c>
      <c r="E90" s="1">
        <f t="shared" si="28"/>
        <v>0</v>
      </c>
      <c r="F90" s="1">
        <f t="shared" si="29"/>
        <v>0</v>
      </c>
      <c r="H90" s="1">
        <f t="shared" si="30"/>
        <v>0</v>
      </c>
      <c r="I90" s="1">
        <f t="shared" si="31"/>
        <v>0</v>
      </c>
      <c r="J90" s="1">
        <f t="shared" si="32"/>
        <v>0</v>
      </c>
      <c r="K90" s="1">
        <f t="shared" si="33"/>
        <v>0</v>
      </c>
      <c r="L90" s="1">
        <f t="shared" si="34"/>
        <v>0</v>
      </c>
      <c r="M90" s="1">
        <f t="shared" si="35"/>
        <v>0</v>
      </c>
      <c r="N90" s="1">
        <f t="shared" si="36"/>
        <v>0</v>
      </c>
      <c r="P90">
        <f t="shared" si="37"/>
        <v>0</v>
      </c>
      <c r="Q90" s="1">
        <f t="shared" si="38"/>
        <v>0</v>
      </c>
      <c r="R90">
        <f t="shared" si="39"/>
        <v>0</v>
      </c>
      <c r="S90">
        <f t="shared" si="40"/>
        <v>0</v>
      </c>
      <c r="T90">
        <f t="shared" si="41"/>
        <v>0</v>
      </c>
      <c r="U90">
        <f t="shared" si="42"/>
        <v>0</v>
      </c>
      <c r="V90">
        <f t="shared" si="43"/>
        <v>0</v>
      </c>
      <c r="W90">
        <f t="shared" si="44"/>
        <v>0</v>
      </c>
      <c r="X90">
        <f t="shared" si="45"/>
        <v>0</v>
      </c>
      <c r="Y90">
        <f t="shared" si="46"/>
        <v>0</v>
      </c>
      <c r="Z90">
        <f t="shared" si="47"/>
        <v>0</v>
      </c>
    </row>
    <row r="91" spans="1:26" x14ac:dyDescent="0.25">
      <c r="A91" t="str">
        <f t="shared" si="25"/>
        <v>Content</v>
      </c>
      <c r="B91" t="str">
        <f t="shared" si="26"/>
        <v>Message</v>
      </c>
      <c r="C91" t="s">
        <v>297</v>
      </c>
      <c r="D91" s="1">
        <f t="shared" si="27"/>
        <v>0</v>
      </c>
      <c r="E91" s="1">
        <f t="shared" si="28"/>
        <v>0</v>
      </c>
      <c r="F91" s="1">
        <f t="shared" si="29"/>
        <v>0</v>
      </c>
      <c r="H91" s="1">
        <f t="shared" si="30"/>
        <v>0</v>
      </c>
      <c r="I91" s="1">
        <f t="shared" si="31"/>
        <v>0</v>
      </c>
      <c r="J91" s="1">
        <f t="shared" si="32"/>
        <v>0</v>
      </c>
      <c r="K91" s="1">
        <f t="shared" si="33"/>
        <v>0</v>
      </c>
      <c r="L91" s="1">
        <f t="shared" si="34"/>
        <v>0</v>
      </c>
      <c r="M91" s="1">
        <f t="shared" si="35"/>
        <v>0</v>
      </c>
      <c r="N91" s="1">
        <f t="shared" si="36"/>
        <v>0</v>
      </c>
      <c r="P91">
        <f t="shared" si="37"/>
        <v>0</v>
      </c>
      <c r="Q91" s="1">
        <f t="shared" si="38"/>
        <v>0</v>
      </c>
      <c r="R91">
        <f t="shared" si="39"/>
        <v>0</v>
      </c>
      <c r="S91">
        <f t="shared" si="40"/>
        <v>0</v>
      </c>
      <c r="T91">
        <f t="shared" si="41"/>
        <v>0</v>
      </c>
      <c r="U91">
        <f t="shared" si="42"/>
        <v>0</v>
      </c>
      <c r="V91">
        <f t="shared" si="43"/>
        <v>0</v>
      </c>
      <c r="W91">
        <f t="shared" si="44"/>
        <v>0</v>
      </c>
      <c r="X91">
        <f t="shared" si="45"/>
        <v>0</v>
      </c>
      <c r="Y91">
        <f t="shared" si="46"/>
        <v>0</v>
      </c>
      <c r="Z91">
        <f t="shared" si="47"/>
        <v>0</v>
      </c>
    </row>
    <row r="92" spans="1:26" x14ac:dyDescent="0.25">
      <c r="A92" t="str">
        <f t="shared" si="25"/>
        <v>Content</v>
      </c>
      <c r="B92" t="str">
        <f t="shared" si="26"/>
        <v>Microsoft Office</v>
      </c>
      <c r="C92" t="s">
        <v>220</v>
      </c>
      <c r="D92" s="1">
        <f t="shared" si="27"/>
        <v>0</v>
      </c>
      <c r="E92" s="1">
        <f t="shared" si="28"/>
        <v>0</v>
      </c>
      <c r="F92" s="1">
        <f t="shared" si="29"/>
        <v>0</v>
      </c>
      <c r="H92" s="1">
        <f t="shared" si="30"/>
        <v>0</v>
      </c>
      <c r="I92" s="1">
        <f t="shared" si="31"/>
        <v>0</v>
      </c>
      <c r="J92" s="1">
        <f t="shared" si="32"/>
        <v>0</v>
      </c>
      <c r="K92" s="1">
        <f t="shared" si="33"/>
        <v>0</v>
      </c>
      <c r="L92" s="1">
        <f t="shared" si="34"/>
        <v>0</v>
      </c>
      <c r="M92" s="1">
        <f t="shared" si="35"/>
        <v>0</v>
      </c>
      <c r="N92" s="1">
        <f t="shared" si="36"/>
        <v>0</v>
      </c>
      <c r="P92">
        <f t="shared" si="37"/>
        <v>0</v>
      </c>
      <c r="Q92" s="1">
        <f t="shared" si="38"/>
        <v>0</v>
      </c>
      <c r="R92">
        <f t="shared" si="39"/>
        <v>0</v>
      </c>
      <c r="S92">
        <f t="shared" si="40"/>
        <v>0</v>
      </c>
      <c r="T92">
        <f t="shared" si="41"/>
        <v>0</v>
      </c>
      <c r="U92">
        <f t="shared" si="42"/>
        <v>0</v>
      </c>
      <c r="V92">
        <f t="shared" si="43"/>
        <v>0</v>
      </c>
      <c r="W92">
        <f t="shared" si="44"/>
        <v>0</v>
      </c>
      <c r="X92">
        <f t="shared" si="45"/>
        <v>0</v>
      </c>
      <c r="Y92">
        <f t="shared" si="46"/>
        <v>0</v>
      </c>
      <c r="Z92">
        <f t="shared" si="47"/>
        <v>0</v>
      </c>
    </row>
    <row r="93" spans="1:26" x14ac:dyDescent="0.25">
      <c r="A93" t="str">
        <f t="shared" si="25"/>
        <v>Content</v>
      </c>
      <c r="B93" t="str">
        <f t="shared" si="26"/>
        <v>OpenOffice Document Format</v>
      </c>
      <c r="C93" t="s">
        <v>419</v>
      </c>
      <c r="D93" s="1">
        <f t="shared" si="27"/>
        <v>0</v>
      </c>
      <c r="E93" s="1">
        <f t="shared" si="28"/>
        <v>0</v>
      </c>
      <c r="F93" s="1">
        <f t="shared" si="29"/>
        <v>0</v>
      </c>
      <c r="H93" s="1">
        <f t="shared" si="30"/>
        <v>0</v>
      </c>
      <c r="I93" s="1">
        <f t="shared" si="31"/>
        <v>0</v>
      </c>
      <c r="J93" s="1">
        <f t="shared" si="32"/>
        <v>0</v>
      </c>
      <c r="K93" s="1">
        <f t="shared" si="33"/>
        <v>0</v>
      </c>
      <c r="L93" s="1">
        <f t="shared" si="34"/>
        <v>0</v>
      </c>
      <c r="M93" s="1">
        <f t="shared" si="35"/>
        <v>0</v>
      </c>
      <c r="N93" s="1">
        <f t="shared" si="36"/>
        <v>0</v>
      </c>
      <c r="P93">
        <f t="shared" si="37"/>
        <v>0</v>
      </c>
      <c r="Q93" s="1">
        <f t="shared" si="38"/>
        <v>0</v>
      </c>
      <c r="R93">
        <f t="shared" si="39"/>
        <v>0</v>
      </c>
      <c r="S93">
        <f t="shared" si="40"/>
        <v>0</v>
      </c>
      <c r="T93">
        <f t="shared" si="41"/>
        <v>0</v>
      </c>
      <c r="U93">
        <f t="shared" si="42"/>
        <v>0</v>
      </c>
      <c r="V93">
        <f t="shared" si="43"/>
        <v>0</v>
      </c>
      <c r="W93">
        <f t="shared" si="44"/>
        <v>0</v>
      </c>
      <c r="X93">
        <f t="shared" si="45"/>
        <v>0</v>
      </c>
      <c r="Y93">
        <f t="shared" si="46"/>
        <v>0</v>
      </c>
      <c r="Z93">
        <f t="shared" si="47"/>
        <v>0</v>
      </c>
    </row>
    <row r="94" spans="1:26" x14ac:dyDescent="0.25">
      <c r="A94" t="str">
        <f t="shared" si="25"/>
        <v>Content</v>
      </c>
      <c r="B94" t="str">
        <f t="shared" si="26"/>
        <v>Microsoft OneNote</v>
      </c>
      <c r="C94" t="s">
        <v>298</v>
      </c>
      <c r="D94" s="1">
        <f t="shared" si="27"/>
        <v>0</v>
      </c>
      <c r="E94" s="1">
        <f t="shared" si="28"/>
        <v>0</v>
      </c>
      <c r="F94" s="1">
        <f t="shared" si="29"/>
        <v>0</v>
      </c>
      <c r="H94" s="1">
        <f t="shared" si="30"/>
        <v>0</v>
      </c>
      <c r="I94" s="1">
        <f t="shared" si="31"/>
        <v>0</v>
      </c>
      <c r="J94" s="1">
        <f t="shared" si="32"/>
        <v>0</v>
      </c>
      <c r="K94" s="1">
        <f t="shared" si="33"/>
        <v>0</v>
      </c>
      <c r="L94" s="1">
        <f t="shared" si="34"/>
        <v>0</v>
      </c>
      <c r="M94" s="1">
        <f t="shared" si="35"/>
        <v>0</v>
      </c>
      <c r="N94" s="1">
        <f t="shared" si="36"/>
        <v>0</v>
      </c>
      <c r="P94">
        <f t="shared" si="37"/>
        <v>0</v>
      </c>
      <c r="Q94" s="1">
        <f t="shared" si="38"/>
        <v>0</v>
      </c>
      <c r="R94">
        <f t="shared" si="39"/>
        <v>0</v>
      </c>
      <c r="S94">
        <f t="shared" si="40"/>
        <v>0</v>
      </c>
      <c r="T94">
        <f t="shared" si="41"/>
        <v>0</v>
      </c>
      <c r="U94">
        <f t="shared" si="42"/>
        <v>0</v>
      </c>
      <c r="V94">
        <f t="shared" si="43"/>
        <v>0</v>
      </c>
      <c r="W94">
        <f t="shared" si="44"/>
        <v>0</v>
      </c>
      <c r="X94">
        <f t="shared" si="45"/>
        <v>0</v>
      </c>
      <c r="Y94">
        <f t="shared" si="46"/>
        <v>0</v>
      </c>
      <c r="Z94">
        <f t="shared" si="47"/>
        <v>0</v>
      </c>
    </row>
    <row r="95" spans="1:26" s="2" customFormat="1" x14ac:dyDescent="0.25">
      <c r="A95" t="str">
        <f t="shared" si="25"/>
        <v>Content</v>
      </c>
      <c r="B95" t="str">
        <f t="shared" si="26"/>
        <v>Adobe Acrobat</v>
      </c>
      <c r="C95" t="s">
        <v>144</v>
      </c>
      <c r="D95" s="1">
        <f t="shared" si="27"/>
        <v>0</v>
      </c>
      <c r="E95" s="1">
        <f t="shared" si="28"/>
        <v>0</v>
      </c>
      <c r="F95" s="1">
        <f t="shared" si="29"/>
        <v>0</v>
      </c>
      <c r="G95" s="1"/>
      <c r="H95" s="1">
        <f t="shared" si="30"/>
        <v>0</v>
      </c>
      <c r="I95" s="1">
        <f t="shared" si="31"/>
        <v>0</v>
      </c>
      <c r="J95" s="1">
        <f t="shared" si="32"/>
        <v>0</v>
      </c>
      <c r="K95" s="1">
        <f t="shared" si="33"/>
        <v>0</v>
      </c>
      <c r="L95" s="1">
        <f t="shared" si="34"/>
        <v>0</v>
      </c>
      <c r="M95" s="1">
        <f t="shared" si="35"/>
        <v>0</v>
      </c>
      <c r="N95" s="1">
        <f t="shared" si="36"/>
        <v>0</v>
      </c>
      <c r="O95" s="1"/>
      <c r="P95">
        <f t="shared" si="37"/>
        <v>0</v>
      </c>
      <c r="Q95" s="1">
        <f t="shared" si="38"/>
        <v>0</v>
      </c>
      <c r="R95">
        <f t="shared" si="39"/>
        <v>0</v>
      </c>
      <c r="S95">
        <f t="shared" si="40"/>
        <v>0</v>
      </c>
      <c r="T95">
        <f t="shared" si="41"/>
        <v>0</v>
      </c>
      <c r="U95">
        <f t="shared" si="42"/>
        <v>0</v>
      </c>
      <c r="V95">
        <f t="shared" si="43"/>
        <v>0</v>
      </c>
      <c r="W95">
        <f t="shared" si="44"/>
        <v>0</v>
      </c>
      <c r="X95">
        <f t="shared" si="45"/>
        <v>0</v>
      </c>
      <c r="Y95">
        <f t="shared" si="46"/>
        <v>0</v>
      </c>
      <c r="Z95">
        <f t="shared" si="47"/>
        <v>0</v>
      </c>
    </row>
    <row r="96" spans="1:26" s="2" customFormat="1" x14ac:dyDescent="0.25">
      <c r="A96" t="str">
        <f t="shared" si="25"/>
        <v>Content</v>
      </c>
      <c r="B96" t="str">
        <f t="shared" si="26"/>
        <v>Microsoft PowerPoint</v>
      </c>
      <c r="C96" t="s">
        <v>178</v>
      </c>
      <c r="D96" s="1">
        <f t="shared" si="27"/>
        <v>0</v>
      </c>
      <c r="E96" s="1">
        <f t="shared" si="28"/>
        <v>0</v>
      </c>
      <c r="F96" s="1">
        <f t="shared" si="29"/>
        <v>0</v>
      </c>
      <c r="G96" s="1"/>
      <c r="H96" s="1">
        <f t="shared" si="30"/>
        <v>0</v>
      </c>
      <c r="I96" s="1">
        <f t="shared" si="31"/>
        <v>0</v>
      </c>
      <c r="J96" s="1">
        <f t="shared" si="32"/>
        <v>0</v>
      </c>
      <c r="K96" s="1">
        <f t="shared" si="33"/>
        <v>0</v>
      </c>
      <c r="L96" s="1">
        <f t="shared" si="34"/>
        <v>0</v>
      </c>
      <c r="M96" s="1">
        <f t="shared" si="35"/>
        <v>0</v>
      </c>
      <c r="N96" s="1">
        <f t="shared" si="36"/>
        <v>0</v>
      </c>
      <c r="O96" s="1"/>
      <c r="P96">
        <f t="shared" si="37"/>
        <v>0</v>
      </c>
      <c r="Q96" s="1">
        <f t="shared" si="38"/>
        <v>0</v>
      </c>
      <c r="R96">
        <f t="shared" si="39"/>
        <v>0</v>
      </c>
      <c r="S96">
        <f t="shared" si="40"/>
        <v>0</v>
      </c>
      <c r="T96">
        <f t="shared" si="41"/>
        <v>0</v>
      </c>
      <c r="U96">
        <f t="shared" si="42"/>
        <v>0</v>
      </c>
      <c r="V96">
        <f t="shared" si="43"/>
        <v>0</v>
      </c>
      <c r="W96">
        <f t="shared" si="44"/>
        <v>0</v>
      </c>
      <c r="X96">
        <f t="shared" si="45"/>
        <v>0</v>
      </c>
      <c r="Y96">
        <f t="shared" si="46"/>
        <v>0</v>
      </c>
      <c r="Z96">
        <f t="shared" si="47"/>
        <v>0</v>
      </c>
    </row>
    <row r="97" spans="1:26" s="2" customFormat="1" x14ac:dyDescent="0.25">
      <c r="A97" t="str">
        <f t="shared" si="25"/>
        <v>Content</v>
      </c>
      <c r="B97" t="str">
        <f t="shared" si="26"/>
        <v>Microsoft PowerPoint</v>
      </c>
      <c r="C97" t="s">
        <v>182</v>
      </c>
      <c r="D97" s="1">
        <f t="shared" si="27"/>
        <v>0</v>
      </c>
      <c r="E97" s="1">
        <f t="shared" si="28"/>
        <v>0</v>
      </c>
      <c r="F97" s="1">
        <f t="shared" si="29"/>
        <v>0</v>
      </c>
      <c r="G97" s="1"/>
      <c r="H97" s="1">
        <f t="shared" si="30"/>
        <v>0</v>
      </c>
      <c r="I97" s="1">
        <f t="shared" si="31"/>
        <v>0</v>
      </c>
      <c r="J97" s="1">
        <f t="shared" si="32"/>
        <v>0</v>
      </c>
      <c r="K97" s="1">
        <f t="shared" si="33"/>
        <v>0</v>
      </c>
      <c r="L97" s="1">
        <f t="shared" si="34"/>
        <v>0</v>
      </c>
      <c r="M97" s="1">
        <f t="shared" si="35"/>
        <v>0</v>
      </c>
      <c r="N97" s="1">
        <f t="shared" si="36"/>
        <v>0</v>
      </c>
      <c r="O97" s="1"/>
      <c r="P97">
        <f t="shared" si="37"/>
        <v>0</v>
      </c>
      <c r="Q97" s="1">
        <f t="shared" si="38"/>
        <v>0</v>
      </c>
      <c r="R97">
        <f t="shared" si="39"/>
        <v>0</v>
      </c>
      <c r="S97">
        <f t="shared" si="40"/>
        <v>0</v>
      </c>
      <c r="T97">
        <f t="shared" si="41"/>
        <v>0</v>
      </c>
      <c r="U97">
        <f t="shared" si="42"/>
        <v>0</v>
      </c>
      <c r="V97">
        <f t="shared" si="43"/>
        <v>0</v>
      </c>
      <c r="W97">
        <f t="shared" si="44"/>
        <v>0</v>
      </c>
      <c r="X97">
        <f t="shared" si="45"/>
        <v>0</v>
      </c>
      <c r="Y97">
        <f t="shared" si="46"/>
        <v>0</v>
      </c>
      <c r="Z97">
        <f t="shared" si="47"/>
        <v>0</v>
      </c>
    </row>
    <row r="98" spans="1:26" x14ac:dyDescent="0.25">
      <c r="A98" t="str">
        <f t="shared" si="25"/>
        <v>Content</v>
      </c>
      <c r="B98" t="str">
        <f t="shared" si="26"/>
        <v>Microsoft PowerPoint</v>
      </c>
      <c r="C98" t="s">
        <v>208</v>
      </c>
      <c r="D98" s="1">
        <f t="shared" si="27"/>
        <v>0</v>
      </c>
      <c r="E98" s="1">
        <f t="shared" si="28"/>
        <v>0</v>
      </c>
      <c r="F98" s="1">
        <f t="shared" si="29"/>
        <v>0</v>
      </c>
      <c r="H98" s="1">
        <f t="shared" si="30"/>
        <v>0</v>
      </c>
      <c r="I98" s="1">
        <f t="shared" si="31"/>
        <v>0</v>
      </c>
      <c r="J98" s="1">
        <f t="shared" si="32"/>
        <v>0</v>
      </c>
      <c r="K98" s="1">
        <f t="shared" si="33"/>
        <v>0</v>
      </c>
      <c r="L98" s="1">
        <f t="shared" si="34"/>
        <v>0</v>
      </c>
      <c r="M98" s="1">
        <f t="shared" si="35"/>
        <v>0</v>
      </c>
      <c r="N98" s="1">
        <f t="shared" si="36"/>
        <v>0</v>
      </c>
      <c r="P98">
        <f t="shared" si="37"/>
        <v>0</v>
      </c>
      <c r="Q98" s="1">
        <f t="shared" si="38"/>
        <v>0</v>
      </c>
      <c r="R98">
        <f t="shared" si="39"/>
        <v>0</v>
      </c>
      <c r="S98">
        <f t="shared" si="40"/>
        <v>0</v>
      </c>
      <c r="T98">
        <f t="shared" si="41"/>
        <v>0</v>
      </c>
      <c r="U98">
        <f t="shared" si="42"/>
        <v>0</v>
      </c>
      <c r="V98">
        <f t="shared" si="43"/>
        <v>0</v>
      </c>
      <c r="W98">
        <f t="shared" si="44"/>
        <v>0</v>
      </c>
      <c r="X98">
        <f t="shared" si="45"/>
        <v>0</v>
      </c>
      <c r="Y98">
        <f t="shared" si="46"/>
        <v>0</v>
      </c>
      <c r="Z98">
        <f t="shared" si="47"/>
        <v>0</v>
      </c>
    </row>
    <row r="99" spans="1:26" x14ac:dyDescent="0.25">
      <c r="A99" t="str">
        <f t="shared" si="25"/>
        <v>Content</v>
      </c>
      <c r="B99" t="str">
        <f t="shared" si="26"/>
        <v>Microsoft PowerPoint</v>
      </c>
      <c r="C99" t="s">
        <v>150</v>
      </c>
      <c r="D99" s="1">
        <f t="shared" si="27"/>
        <v>0</v>
      </c>
      <c r="E99" s="1">
        <f t="shared" si="28"/>
        <v>0</v>
      </c>
      <c r="F99" s="1">
        <f t="shared" si="29"/>
        <v>0</v>
      </c>
      <c r="H99" s="1">
        <f t="shared" si="30"/>
        <v>0</v>
      </c>
      <c r="I99" s="1">
        <f t="shared" si="31"/>
        <v>0</v>
      </c>
      <c r="J99" s="1">
        <f t="shared" si="32"/>
        <v>0</v>
      </c>
      <c r="K99" s="1">
        <f t="shared" si="33"/>
        <v>0</v>
      </c>
      <c r="L99" s="1">
        <f t="shared" si="34"/>
        <v>0</v>
      </c>
      <c r="M99" s="1">
        <f t="shared" si="35"/>
        <v>0</v>
      </c>
      <c r="N99" s="1">
        <f t="shared" si="36"/>
        <v>0</v>
      </c>
      <c r="P99">
        <f t="shared" si="37"/>
        <v>0</v>
      </c>
      <c r="Q99" s="1">
        <f t="shared" si="38"/>
        <v>0</v>
      </c>
      <c r="R99">
        <f t="shared" si="39"/>
        <v>0</v>
      </c>
      <c r="S99">
        <f t="shared" si="40"/>
        <v>0</v>
      </c>
      <c r="T99">
        <f t="shared" si="41"/>
        <v>0</v>
      </c>
      <c r="U99">
        <f t="shared" si="42"/>
        <v>0</v>
      </c>
      <c r="V99">
        <f t="shared" si="43"/>
        <v>0</v>
      </c>
      <c r="W99">
        <f t="shared" si="44"/>
        <v>0</v>
      </c>
      <c r="X99">
        <f t="shared" si="45"/>
        <v>0</v>
      </c>
      <c r="Y99">
        <f t="shared" si="46"/>
        <v>0</v>
      </c>
      <c r="Z99">
        <f t="shared" si="47"/>
        <v>0</v>
      </c>
    </row>
    <row r="100" spans="1:26" x14ac:dyDescent="0.25">
      <c r="A100" t="str">
        <f t="shared" si="25"/>
        <v>Content</v>
      </c>
      <c r="B100" t="str">
        <f t="shared" si="26"/>
        <v>Outlook Mail Archive</v>
      </c>
      <c r="C100" t="s">
        <v>314</v>
      </c>
      <c r="D100" s="1">
        <f t="shared" si="27"/>
        <v>0</v>
      </c>
      <c r="E100" s="1">
        <f t="shared" si="28"/>
        <v>0</v>
      </c>
      <c r="F100" s="1">
        <f t="shared" si="29"/>
        <v>0</v>
      </c>
      <c r="H100" s="1">
        <f t="shared" si="30"/>
        <v>0</v>
      </c>
      <c r="I100" s="1">
        <f t="shared" si="31"/>
        <v>0</v>
      </c>
      <c r="J100" s="1">
        <f t="shared" si="32"/>
        <v>0</v>
      </c>
      <c r="K100" s="1">
        <f t="shared" si="33"/>
        <v>0</v>
      </c>
      <c r="L100" s="1">
        <f t="shared" si="34"/>
        <v>0</v>
      </c>
      <c r="M100" s="1">
        <f t="shared" si="35"/>
        <v>0</v>
      </c>
      <c r="N100" s="1">
        <f t="shared" si="36"/>
        <v>0</v>
      </c>
      <c r="P100">
        <f t="shared" si="37"/>
        <v>0</v>
      </c>
      <c r="Q100" s="1">
        <f t="shared" si="38"/>
        <v>0</v>
      </c>
      <c r="R100">
        <f t="shared" si="39"/>
        <v>0</v>
      </c>
      <c r="S100">
        <f t="shared" si="40"/>
        <v>0</v>
      </c>
      <c r="T100">
        <f t="shared" si="41"/>
        <v>0</v>
      </c>
      <c r="U100">
        <f t="shared" si="42"/>
        <v>0</v>
      </c>
      <c r="V100">
        <f t="shared" si="43"/>
        <v>0</v>
      </c>
      <c r="W100">
        <f t="shared" si="44"/>
        <v>0</v>
      </c>
      <c r="X100">
        <f t="shared" si="45"/>
        <v>0</v>
      </c>
      <c r="Y100">
        <f t="shared" si="46"/>
        <v>0</v>
      </c>
      <c r="Z100">
        <f t="shared" si="47"/>
        <v>0</v>
      </c>
    </row>
    <row r="101" spans="1:26" x14ac:dyDescent="0.25">
      <c r="A101" t="str">
        <f t="shared" si="25"/>
        <v>Content</v>
      </c>
      <c r="B101" t="str">
        <f t="shared" si="26"/>
        <v>Rich Text</v>
      </c>
      <c r="C101" t="s">
        <v>193</v>
      </c>
      <c r="D101" s="1">
        <f t="shared" si="27"/>
        <v>0</v>
      </c>
      <c r="E101" s="1">
        <f t="shared" si="28"/>
        <v>0</v>
      </c>
      <c r="F101" s="1">
        <f t="shared" si="29"/>
        <v>0</v>
      </c>
      <c r="H101" s="1">
        <f t="shared" si="30"/>
        <v>0</v>
      </c>
      <c r="I101" s="1">
        <f t="shared" si="31"/>
        <v>0</v>
      </c>
      <c r="J101" s="1">
        <f t="shared" si="32"/>
        <v>0</v>
      </c>
      <c r="K101" s="1">
        <f t="shared" si="33"/>
        <v>0</v>
      </c>
      <c r="L101" s="1">
        <f t="shared" si="34"/>
        <v>0</v>
      </c>
      <c r="M101" s="1">
        <f t="shared" si="35"/>
        <v>0</v>
      </c>
      <c r="N101" s="1">
        <f t="shared" si="36"/>
        <v>0</v>
      </c>
      <c r="P101">
        <f t="shared" si="37"/>
        <v>0</v>
      </c>
      <c r="Q101" s="1">
        <f t="shared" si="38"/>
        <v>0</v>
      </c>
      <c r="R101">
        <f t="shared" si="39"/>
        <v>0</v>
      </c>
      <c r="S101">
        <f t="shared" si="40"/>
        <v>0</v>
      </c>
      <c r="T101">
        <f t="shared" si="41"/>
        <v>0</v>
      </c>
      <c r="U101">
        <f t="shared" si="42"/>
        <v>0</v>
      </c>
      <c r="V101">
        <f t="shared" si="43"/>
        <v>0</v>
      </c>
      <c r="W101">
        <f t="shared" si="44"/>
        <v>0</v>
      </c>
      <c r="X101">
        <f t="shared" si="45"/>
        <v>0</v>
      </c>
      <c r="Y101">
        <f t="shared" si="46"/>
        <v>0</v>
      </c>
      <c r="Z101">
        <f t="shared" si="47"/>
        <v>0</v>
      </c>
    </row>
    <row r="102" spans="1:26" x14ac:dyDescent="0.25">
      <c r="A102" t="str">
        <f t="shared" si="25"/>
        <v>Content</v>
      </c>
      <c r="B102" t="str">
        <f t="shared" si="26"/>
        <v>Apache OpenOffice Calc Spreadsheet</v>
      </c>
      <c r="C102" t="s">
        <v>260</v>
      </c>
      <c r="D102" s="1">
        <f t="shared" si="27"/>
        <v>0</v>
      </c>
      <c r="E102" s="1">
        <f t="shared" si="28"/>
        <v>0</v>
      </c>
      <c r="F102" s="1">
        <f t="shared" si="29"/>
        <v>0</v>
      </c>
      <c r="H102" s="1">
        <f t="shared" si="30"/>
        <v>0</v>
      </c>
      <c r="I102" s="1">
        <f t="shared" si="31"/>
        <v>0</v>
      </c>
      <c r="J102" s="1">
        <f t="shared" si="32"/>
        <v>0</v>
      </c>
      <c r="K102" s="1">
        <f t="shared" si="33"/>
        <v>0</v>
      </c>
      <c r="L102" s="1">
        <f t="shared" si="34"/>
        <v>0</v>
      </c>
      <c r="M102" s="1">
        <f t="shared" si="35"/>
        <v>0</v>
      </c>
      <c r="N102" s="1">
        <f t="shared" si="36"/>
        <v>0</v>
      </c>
      <c r="P102">
        <f t="shared" si="37"/>
        <v>0</v>
      </c>
      <c r="Q102" s="1">
        <f t="shared" si="38"/>
        <v>0</v>
      </c>
      <c r="R102">
        <f t="shared" si="39"/>
        <v>0</v>
      </c>
      <c r="S102">
        <f t="shared" si="40"/>
        <v>0</v>
      </c>
      <c r="T102">
        <f t="shared" si="41"/>
        <v>0</v>
      </c>
      <c r="U102">
        <f t="shared" si="42"/>
        <v>0</v>
      </c>
      <c r="V102">
        <f t="shared" si="43"/>
        <v>0</v>
      </c>
      <c r="W102">
        <f t="shared" si="44"/>
        <v>0</v>
      </c>
      <c r="X102">
        <f t="shared" si="45"/>
        <v>0</v>
      </c>
      <c r="Y102">
        <f t="shared" si="46"/>
        <v>0</v>
      </c>
      <c r="Z102">
        <f t="shared" si="47"/>
        <v>0</v>
      </c>
    </row>
    <row r="103" spans="1:26" x14ac:dyDescent="0.25">
      <c r="A103" t="str">
        <f t="shared" si="25"/>
        <v>Content</v>
      </c>
      <c r="B103" t="str">
        <f t="shared" si="26"/>
        <v>Plaintext</v>
      </c>
      <c r="C103" t="s">
        <v>147</v>
      </c>
      <c r="D103" s="1">
        <f t="shared" si="27"/>
        <v>0</v>
      </c>
      <c r="E103" s="1">
        <f t="shared" si="28"/>
        <v>0</v>
      </c>
      <c r="F103" s="1">
        <f t="shared" si="29"/>
        <v>0</v>
      </c>
      <c r="H103" s="1">
        <f t="shared" si="30"/>
        <v>0</v>
      </c>
      <c r="I103" s="1">
        <f t="shared" si="31"/>
        <v>0</v>
      </c>
      <c r="J103" s="1">
        <f t="shared" si="32"/>
        <v>0</v>
      </c>
      <c r="K103" s="1">
        <f t="shared" si="33"/>
        <v>0</v>
      </c>
      <c r="L103" s="1">
        <f t="shared" si="34"/>
        <v>0</v>
      </c>
      <c r="M103" s="1">
        <f t="shared" si="35"/>
        <v>0</v>
      </c>
      <c r="N103" s="1">
        <f t="shared" si="36"/>
        <v>0</v>
      </c>
      <c r="P103">
        <f t="shared" si="37"/>
        <v>0</v>
      </c>
      <c r="Q103" s="1">
        <f t="shared" si="38"/>
        <v>0</v>
      </c>
      <c r="R103">
        <f t="shared" si="39"/>
        <v>0</v>
      </c>
      <c r="S103">
        <f t="shared" si="40"/>
        <v>0</v>
      </c>
      <c r="T103">
        <f t="shared" si="41"/>
        <v>0</v>
      </c>
      <c r="U103">
        <f t="shared" si="42"/>
        <v>0</v>
      </c>
      <c r="V103">
        <f t="shared" si="43"/>
        <v>0</v>
      </c>
      <c r="W103">
        <f t="shared" si="44"/>
        <v>0</v>
      </c>
      <c r="X103">
        <f t="shared" si="45"/>
        <v>0</v>
      </c>
      <c r="Y103">
        <f t="shared" ref="Y103:Y134" si="48">COUNTIFS(Exts,C103,Age,"&gt;=15")</f>
        <v>0</v>
      </c>
      <c r="Z103">
        <f t="shared" ref="Z103:Z134" si="49">COUNTIFS(Exts,C103,Age,"&gt;=20")</f>
        <v>0</v>
      </c>
    </row>
    <row r="104" spans="1:26" x14ac:dyDescent="0.25">
      <c r="A104" t="str">
        <f t="shared" si="25"/>
        <v>Content</v>
      </c>
      <c r="B104" t="str">
        <f t="shared" si="26"/>
        <v>Plaintext</v>
      </c>
      <c r="C104" t="s">
        <v>251</v>
      </c>
      <c r="D104" s="1">
        <f t="shared" si="27"/>
        <v>0</v>
      </c>
      <c r="E104" s="1">
        <f t="shared" si="28"/>
        <v>0</v>
      </c>
      <c r="F104" s="1">
        <f t="shared" si="29"/>
        <v>0</v>
      </c>
      <c r="H104" s="1">
        <f t="shared" si="30"/>
        <v>0</v>
      </c>
      <c r="I104" s="1">
        <f t="shared" si="31"/>
        <v>0</v>
      </c>
      <c r="J104" s="1">
        <f t="shared" si="32"/>
        <v>0</v>
      </c>
      <c r="K104" s="1">
        <f t="shared" si="33"/>
        <v>0</v>
      </c>
      <c r="L104" s="1">
        <f t="shared" si="34"/>
        <v>0</v>
      </c>
      <c r="M104" s="1">
        <f t="shared" si="35"/>
        <v>0</v>
      </c>
      <c r="N104" s="1">
        <f t="shared" si="36"/>
        <v>0</v>
      </c>
      <c r="P104">
        <f t="shared" si="37"/>
        <v>0</v>
      </c>
      <c r="Q104" s="1">
        <f t="shared" si="38"/>
        <v>0</v>
      </c>
      <c r="R104">
        <f t="shared" si="39"/>
        <v>0</v>
      </c>
      <c r="S104">
        <f t="shared" si="40"/>
        <v>0</v>
      </c>
      <c r="T104">
        <f t="shared" si="41"/>
        <v>0</v>
      </c>
      <c r="U104">
        <f t="shared" si="42"/>
        <v>0</v>
      </c>
      <c r="V104">
        <f t="shared" si="43"/>
        <v>0</v>
      </c>
      <c r="W104">
        <f t="shared" si="44"/>
        <v>0</v>
      </c>
      <c r="X104">
        <f t="shared" si="45"/>
        <v>0</v>
      </c>
      <c r="Y104">
        <f t="shared" si="48"/>
        <v>0</v>
      </c>
      <c r="Z104">
        <f t="shared" si="49"/>
        <v>0</v>
      </c>
    </row>
    <row r="105" spans="1:26" x14ac:dyDescent="0.25">
      <c r="A105" t="str">
        <f t="shared" si="25"/>
        <v>Content</v>
      </c>
      <c r="B105" t="str">
        <f t="shared" si="26"/>
        <v>Microsoft Visio</v>
      </c>
      <c r="C105" t="s">
        <v>313</v>
      </c>
      <c r="D105" s="1">
        <f t="shared" si="27"/>
        <v>0</v>
      </c>
      <c r="E105" s="1">
        <f t="shared" si="28"/>
        <v>0</v>
      </c>
      <c r="F105" s="1">
        <f t="shared" si="29"/>
        <v>0</v>
      </c>
      <c r="H105" s="1">
        <f t="shared" si="30"/>
        <v>0</v>
      </c>
      <c r="I105" s="1">
        <f t="shared" si="31"/>
        <v>0</v>
      </c>
      <c r="J105" s="1">
        <f t="shared" si="32"/>
        <v>0</v>
      </c>
      <c r="K105" s="1">
        <f t="shared" si="33"/>
        <v>0</v>
      </c>
      <c r="L105" s="1">
        <f t="shared" si="34"/>
        <v>0</v>
      </c>
      <c r="M105" s="1">
        <f t="shared" si="35"/>
        <v>0</v>
      </c>
      <c r="N105" s="1">
        <f t="shared" si="36"/>
        <v>0</v>
      </c>
      <c r="P105">
        <f t="shared" si="37"/>
        <v>0</v>
      </c>
      <c r="Q105" s="1">
        <f t="shared" si="38"/>
        <v>0</v>
      </c>
      <c r="R105">
        <f t="shared" si="39"/>
        <v>0</v>
      </c>
      <c r="S105">
        <f t="shared" si="40"/>
        <v>0</v>
      </c>
      <c r="T105">
        <f t="shared" si="41"/>
        <v>0</v>
      </c>
      <c r="U105">
        <f t="shared" si="42"/>
        <v>0</v>
      </c>
      <c r="V105">
        <f t="shared" si="43"/>
        <v>0</v>
      </c>
      <c r="W105">
        <f t="shared" si="44"/>
        <v>0</v>
      </c>
      <c r="X105">
        <f t="shared" si="45"/>
        <v>0</v>
      </c>
      <c r="Y105">
        <f t="shared" si="48"/>
        <v>0</v>
      </c>
      <c r="Z105">
        <f t="shared" si="49"/>
        <v>0</v>
      </c>
    </row>
    <row r="106" spans="1:26" x14ac:dyDescent="0.25">
      <c r="A106" t="str">
        <f t="shared" si="25"/>
        <v>Content</v>
      </c>
      <c r="B106" t="str">
        <f t="shared" si="26"/>
        <v>Word Backup File</v>
      </c>
      <c r="C106" t="s">
        <v>434</v>
      </c>
      <c r="D106" s="1">
        <f t="shared" si="27"/>
        <v>0</v>
      </c>
      <c r="E106" s="1">
        <f t="shared" si="28"/>
        <v>0</v>
      </c>
      <c r="F106" s="1">
        <f t="shared" si="29"/>
        <v>0</v>
      </c>
      <c r="H106" s="1">
        <f t="shared" si="30"/>
        <v>0</v>
      </c>
      <c r="I106" s="1">
        <f t="shared" si="31"/>
        <v>0</v>
      </c>
      <c r="J106" s="1">
        <f t="shared" si="32"/>
        <v>0</v>
      </c>
      <c r="K106" s="1">
        <f t="shared" si="33"/>
        <v>0</v>
      </c>
      <c r="L106" s="1">
        <f t="shared" si="34"/>
        <v>0</v>
      </c>
      <c r="M106" s="1">
        <f t="shared" si="35"/>
        <v>0</v>
      </c>
      <c r="N106" s="1">
        <f t="shared" si="36"/>
        <v>0</v>
      </c>
      <c r="P106">
        <f t="shared" si="37"/>
        <v>0</v>
      </c>
      <c r="Q106" s="1">
        <f t="shared" si="38"/>
        <v>0</v>
      </c>
      <c r="R106">
        <f t="shared" si="39"/>
        <v>0</v>
      </c>
      <c r="S106">
        <f t="shared" si="40"/>
        <v>0</v>
      </c>
      <c r="T106">
        <f t="shared" si="41"/>
        <v>0</v>
      </c>
      <c r="U106">
        <f t="shared" si="42"/>
        <v>0</v>
      </c>
      <c r="V106">
        <f t="shared" si="43"/>
        <v>0</v>
      </c>
      <c r="W106">
        <f t="shared" si="44"/>
        <v>0</v>
      </c>
      <c r="X106">
        <f t="shared" si="45"/>
        <v>0</v>
      </c>
      <c r="Y106">
        <f t="shared" si="48"/>
        <v>0</v>
      </c>
      <c r="Z106">
        <f t="shared" si="49"/>
        <v>0</v>
      </c>
    </row>
    <row r="107" spans="1:26" x14ac:dyDescent="0.25">
      <c r="A107" t="str">
        <f t="shared" si="25"/>
        <v>Content</v>
      </c>
      <c r="B107" t="str">
        <f t="shared" si="26"/>
        <v>WordPerfect Macro</v>
      </c>
      <c r="C107" t="s">
        <v>436</v>
      </c>
      <c r="D107" s="1">
        <f t="shared" si="27"/>
        <v>0</v>
      </c>
      <c r="E107" s="1">
        <f t="shared" si="28"/>
        <v>0</v>
      </c>
      <c r="F107" s="1">
        <f t="shared" si="29"/>
        <v>0</v>
      </c>
      <c r="H107" s="1">
        <f t="shared" si="30"/>
        <v>0</v>
      </c>
      <c r="I107" s="1">
        <f t="shared" si="31"/>
        <v>0</v>
      </c>
      <c r="J107" s="1">
        <f t="shared" si="32"/>
        <v>0</v>
      </c>
      <c r="K107" s="1">
        <f t="shared" si="33"/>
        <v>0</v>
      </c>
      <c r="L107" s="1">
        <f t="shared" si="34"/>
        <v>0</v>
      </c>
      <c r="M107" s="1">
        <f t="shared" si="35"/>
        <v>0</v>
      </c>
      <c r="N107" s="1">
        <f t="shared" si="36"/>
        <v>0</v>
      </c>
      <c r="P107">
        <f t="shared" si="37"/>
        <v>0</v>
      </c>
      <c r="Q107" s="1">
        <f t="shared" si="38"/>
        <v>0</v>
      </c>
      <c r="R107">
        <f t="shared" si="39"/>
        <v>0</v>
      </c>
      <c r="S107">
        <f t="shared" si="40"/>
        <v>0</v>
      </c>
      <c r="T107">
        <f t="shared" si="41"/>
        <v>0</v>
      </c>
      <c r="U107">
        <f t="shared" si="42"/>
        <v>0</v>
      </c>
      <c r="V107">
        <f t="shared" si="43"/>
        <v>0</v>
      </c>
      <c r="W107">
        <f t="shared" si="44"/>
        <v>0</v>
      </c>
      <c r="X107">
        <f t="shared" si="45"/>
        <v>0</v>
      </c>
      <c r="Y107">
        <f t="shared" si="48"/>
        <v>0</v>
      </c>
      <c r="Z107">
        <f t="shared" si="49"/>
        <v>0</v>
      </c>
    </row>
    <row r="108" spans="1:26" x14ac:dyDescent="0.25">
      <c r="A108" t="str">
        <f t="shared" si="25"/>
        <v>Content</v>
      </c>
      <c r="B108" t="str">
        <f t="shared" si="26"/>
        <v>MapInfo WorkSpace / ESRI GIS</v>
      </c>
      <c r="C108" t="s">
        <v>257</v>
      </c>
      <c r="D108" s="1">
        <f t="shared" si="27"/>
        <v>0</v>
      </c>
      <c r="E108" s="1">
        <f t="shared" si="28"/>
        <v>0</v>
      </c>
      <c r="F108" s="1">
        <f t="shared" si="29"/>
        <v>0</v>
      </c>
      <c r="H108" s="1">
        <f t="shared" si="30"/>
        <v>0</v>
      </c>
      <c r="I108" s="1">
        <f t="shared" si="31"/>
        <v>0</v>
      </c>
      <c r="J108" s="1">
        <f t="shared" si="32"/>
        <v>0</v>
      </c>
      <c r="K108" s="1">
        <f t="shared" si="33"/>
        <v>0</v>
      </c>
      <c r="L108" s="1">
        <f t="shared" si="34"/>
        <v>0</v>
      </c>
      <c r="M108" s="1">
        <f t="shared" si="35"/>
        <v>0</v>
      </c>
      <c r="N108" s="1">
        <f t="shared" si="36"/>
        <v>0</v>
      </c>
      <c r="P108">
        <f t="shared" si="37"/>
        <v>0</v>
      </c>
      <c r="Q108" s="1">
        <f t="shared" si="38"/>
        <v>0</v>
      </c>
      <c r="R108">
        <f t="shared" si="39"/>
        <v>0</v>
      </c>
      <c r="S108">
        <f t="shared" si="40"/>
        <v>0</v>
      </c>
      <c r="T108">
        <f t="shared" si="41"/>
        <v>0</v>
      </c>
      <c r="U108">
        <f t="shared" si="42"/>
        <v>0</v>
      </c>
      <c r="V108">
        <f t="shared" si="43"/>
        <v>0</v>
      </c>
      <c r="W108">
        <f t="shared" si="44"/>
        <v>0</v>
      </c>
      <c r="X108">
        <f t="shared" si="45"/>
        <v>0</v>
      </c>
      <c r="Y108">
        <f t="shared" si="48"/>
        <v>0</v>
      </c>
      <c r="Z108">
        <f t="shared" si="49"/>
        <v>0</v>
      </c>
    </row>
    <row r="109" spans="1:26" x14ac:dyDescent="0.25">
      <c r="A109" t="str">
        <f t="shared" si="25"/>
        <v>Content</v>
      </c>
      <c r="B109" t="str">
        <f t="shared" si="26"/>
        <v>WordPerfect Document</v>
      </c>
      <c r="C109" t="s">
        <v>438</v>
      </c>
      <c r="D109" s="1">
        <f t="shared" si="27"/>
        <v>0</v>
      </c>
      <c r="E109" s="1">
        <f t="shared" si="28"/>
        <v>0</v>
      </c>
      <c r="F109" s="1">
        <f t="shared" si="29"/>
        <v>0</v>
      </c>
      <c r="H109" s="1">
        <f t="shared" si="30"/>
        <v>0</v>
      </c>
      <c r="I109" s="1">
        <f t="shared" si="31"/>
        <v>0</v>
      </c>
      <c r="J109" s="1">
        <f t="shared" si="32"/>
        <v>0</v>
      </c>
      <c r="K109" s="1">
        <f t="shared" si="33"/>
        <v>0</v>
      </c>
      <c r="L109" s="1">
        <f t="shared" si="34"/>
        <v>0</v>
      </c>
      <c r="M109" s="1">
        <f t="shared" si="35"/>
        <v>0</v>
      </c>
      <c r="N109" s="1">
        <f t="shared" si="36"/>
        <v>0</v>
      </c>
      <c r="P109">
        <f t="shared" si="37"/>
        <v>0</v>
      </c>
      <c r="Q109" s="1">
        <f t="shared" si="38"/>
        <v>0</v>
      </c>
      <c r="R109">
        <f t="shared" si="39"/>
        <v>0</v>
      </c>
      <c r="S109">
        <f t="shared" si="40"/>
        <v>0</v>
      </c>
      <c r="T109">
        <f t="shared" si="41"/>
        <v>0</v>
      </c>
      <c r="U109">
        <f t="shared" si="42"/>
        <v>0</v>
      </c>
      <c r="V109">
        <f t="shared" si="43"/>
        <v>0</v>
      </c>
      <c r="W109">
        <f t="shared" si="44"/>
        <v>0</v>
      </c>
      <c r="X109">
        <f t="shared" si="45"/>
        <v>0</v>
      </c>
      <c r="Y109">
        <f t="shared" si="48"/>
        <v>0</v>
      </c>
      <c r="Z109">
        <f t="shared" si="49"/>
        <v>0</v>
      </c>
    </row>
    <row r="110" spans="1:26" x14ac:dyDescent="0.25">
      <c r="A110" t="str">
        <f t="shared" si="25"/>
        <v>Content</v>
      </c>
      <c r="B110" t="str">
        <f t="shared" si="26"/>
        <v>Microsoft Excel</v>
      </c>
      <c r="C110" t="s">
        <v>146</v>
      </c>
      <c r="D110" s="1">
        <f t="shared" si="27"/>
        <v>0</v>
      </c>
      <c r="E110" s="1">
        <f t="shared" si="28"/>
        <v>0</v>
      </c>
      <c r="F110" s="1">
        <f t="shared" si="29"/>
        <v>0</v>
      </c>
      <c r="H110" s="1">
        <f t="shared" si="30"/>
        <v>0</v>
      </c>
      <c r="I110" s="1">
        <f t="shared" si="31"/>
        <v>0</v>
      </c>
      <c r="J110" s="1">
        <f t="shared" si="32"/>
        <v>0</v>
      </c>
      <c r="K110" s="1">
        <f t="shared" si="33"/>
        <v>0</v>
      </c>
      <c r="L110" s="1">
        <f t="shared" si="34"/>
        <v>0</v>
      </c>
      <c r="M110" s="1">
        <f t="shared" si="35"/>
        <v>0</v>
      </c>
      <c r="N110" s="1">
        <f t="shared" si="36"/>
        <v>0</v>
      </c>
      <c r="P110">
        <f t="shared" si="37"/>
        <v>0</v>
      </c>
      <c r="Q110" s="1">
        <f t="shared" si="38"/>
        <v>0</v>
      </c>
      <c r="R110">
        <f t="shared" si="39"/>
        <v>0</v>
      </c>
      <c r="S110">
        <f t="shared" si="40"/>
        <v>0</v>
      </c>
      <c r="T110">
        <f t="shared" si="41"/>
        <v>0</v>
      </c>
      <c r="U110">
        <f t="shared" si="42"/>
        <v>0</v>
      </c>
      <c r="V110">
        <f t="shared" si="43"/>
        <v>0</v>
      </c>
      <c r="W110">
        <f t="shared" si="44"/>
        <v>0</v>
      </c>
      <c r="X110">
        <f t="shared" si="45"/>
        <v>0</v>
      </c>
      <c r="Y110">
        <f t="shared" si="48"/>
        <v>0</v>
      </c>
      <c r="Z110">
        <f t="shared" si="49"/>
        <v>0</v>
      </c>
    </row>
    <row r="111" spans="1:26" x14ac:dyDescent="0.25">
      <c r="A111" t="str">
        <f t="shared" si="25"/>
        <v>Content</v>
      </c>
      <c r="B111" t="str">
        <f t="shared" si="26"/>
        <v>Microsoft Excel</v>
      </c>
      <c r="C111" t="s">
        <v>226</v>
      </c>
      <c r="D111" s="1">
        <f t="shared" si="27"/>
        <v>0</v>
      </c>
      <c r="E111" s="1">
        <f t="shared" si="28"/>
        <v>0</v>
      </c>
      <c r="F111" s="1">
        <f t="shared" si="29"/>
        <v>0</v>
      </c>
      <c r="H111" s="1">
        <f t="shared" si="30"/>
        <v>0</v>
      </c>
      <c r="I111" s="1">
        <f t="shared" si="31"/>
        <v>0</v>
      </c>
      <c r="J111" s="1">
        <f t="shared" si="32"/>
        <v>0</v>
      </c>
      <c r="K111" s="1">
        <f t="shared" si="33"/>
        <v>0</v>
      </c>
      <c r="L111" s="1">
        <f t="shared" si="34"/>
        <v>0</v>
      </c>
      <c r="M111" s="1">
        <f t="shared" si="35"/>
        <v>0</v>
      </c>
      <c r="N111" s="1">
        <f t="shared" si="36"/>
        <v>0</v>
      </c>
      <c r="P111">
        <f t="shared" si="37"/>
        <v>0</v>
      </c>
      <c r="Q111" s="1">
        <f t="shared" si="38"/>
        <v>0</v>
      </c>
      <c r="R111">
        <f t="shared" si="39"/>
        <v>0</v>
      </c>
      <c r="S111">
        <f t="shared" si="40"/>
        <v>0</v>
      </c>
      <c r="T111">
        <f t="shared" si="41"/>
        <v>0</v>
      </c>
      <c r="U111">
        <f t="shared" si="42"/>
        <v>0</v>
      </c>
      <c r="V111">
        <f t="shared" si="43"/>
        <v>0</v>
      </c>
      <c r="W111">
        <f t="shared" si="44"/>
        <v>0</v>
      </c>
      <c r="X111">
        <f t="shared" si="45"/>
        <v>0</v>
      </c>
      <c r="Y111">
        <f t="shared" si="48"/>
        <v>0</v>
      </c>
      <c r="Z111">
        <f t="shared" si="49"/>
        <v>0</v>
      </c>
    </row>
    <row r="112" spans="1:26" x14ac:dyDescent="0.25">
      <c r="A112" t="str">
        <f t="shared" si="25"/>
        <v>Content</v>
      </c>
      <c r="B112" t="str">
        <f t="shared" si="26"/>
        <v>Microsoft Excel</v>
      </c>
      <c r="C112" t="s">
        <v>185</v>
      </c>
      <c r="D112" s="1">
        <f t="shared" si="27"/>
        <v>0</v>
      </c>
      <c r="E112" s="1">
        <f t="shared" si="28"/>
        <v>0</v>
      </c>
      <c r="F112" s="1">
        <f t="shared" si="29"/>
        <v>0</v>
      </c>
      <c r="H112" s="1">
        <f t="shared" si="30"/>
        <v>0</v>
      </c>
      <c r="I112" s="1">
        <f t="shared" si="31"/>
        <v>0</v>
      </c>
      <c r="J112" s="1">
        <f t="shared" si="32"/>
        <v>0</v>
      </c>
      <c r="K112" s="1">
        <f t="shared" si="33"/>
        <v>0</v>
      </c>
      <c r="L112" s="1">
        <f t="shared" si="34"/>
        <v>0</v>
      </c>
      <c r="M112" s="1">
        <f t="shared" si="35"/>
        <v>0</v>
      </c>
      <c r="N112" s="1">
        <f t="shared" si="36"/>
        <v>0</v>
      </c>
      <c r="P112">
        <f t="shared" si="37"/>
        <v>0</v>
      </c>
      <c r="Q112" s="1">
        <f t="shared" si="38"/>
        <v>0</v>
      </c>
      <c r="R112">
        <f t="shared" si="39"/>
        <v>0</v>
      </c>
      <c r="S112">
        <f t="shared" si="40"/>
        <v>0</v>
      </c>
      <c r="T112">
        <f t="shared" si="41"/>
        <v>0</v>
      </c>
      <c r="U112">
        <f t="shared" si="42"/>
        <v>0</v>
      </c>
      <c r="V112">
        <f t="shared" si="43"/>
        <v>0</v>
      </c>
      <c r="W112">
        <f t="shared" si="44"/>
        <v>0</v>
      </c>
      <c r="X112">
        <f t="shared" si="45"/>
        <v>0</v>
      </c>
      <c r="Y112">
        <f t="shared" si="48"/>
        <v>0</v>
      </c>
      <c r="Z112">
        <f t="shared" si="49"/>
        <v>0</v>
      </c>
    </row>
    <row r="113" spans="1:26" x14ac:dyDescent="0.25">
      <c r="A113" t="str">
        <f t="shared" si="25"/>
        <v>Content</v>
      </c>
      <c r="B113" t="str">
        <f t="shared" si="26"/>
        <v>XML Paper Specification</v>
      </c>
      <c r="C113" t="s">
        <v>277</v>
      </c>
      <c r="D113" s="1">
        <f t="shared" si="27"/>
        <v>0</v>
      </c>
      <c r="E113" s="1">
        <f t="shared" si="28"/>
        <v>0</v>
      </c>
      <c r="F113" s="1">
        <f t="shared" si="29"/>
        <v>0</v>
      </c>
      <c r="H113" s="1">
        <f t="shared" si="30"/>
        <v>0</v>
      </c>
      <c r="I113" s="1">
        <f t="shared" si="31"/>
        <v>0</v>
      </c>
      <c r="J113" s="1">
        <f t="shared" si="32"/>
        <v>0</v>
      </c>
      <c r="K113" s="1">
        <f t="shared" si="33"/>
        <v>0</v>
      </c>
      <c r="L113" s="1">
        <f t="shared" si="34"/>
        <v>0</v>
      </c>
      <c r="M113" s="1">
        <f t="shared" si="35"/>
        <v>0</v>
      </c>
      <c r="N113" s="1">
        <f t="shared" si="36"/>
        <v>0</v>
      </c>
      <c r="P113">
        <f t="shared" si="37"/>
        <v>0</v>
      </c>
      <c r="Q113" s="1">
        <f t="shared" si="38"/>
        <v>0</v>
      </c>
      <c r="R113">
        <f t="shared" si="39"/>
        <v>0</v>
      </c>
      <c r="S113">
        <f t="shared" si="40"/>
        <v>0</v>
      </c>
      <c r="T113">
        <f t="shared" si="41"/>
        <v>0</v>
      </c>
      <c r="U113">
        <f t="shared" si="42"/>
        <v>0</v>
      </c>
      <c r="V113">
        <f t="shared" si="43"/>
        <v>0</v>
      </c>
      <c r="W113">
        <f t="shared" si="44"/>
        <v>0</v>
      </c>
      <c r="X113">
        <f t="shared" si="45"/>
        <v>0</v>
      </c>
      <c r="Y113">
        <f t="shared" si="48"/>
        <v>0</v>
      </c>
      <c r="Z113">
        <f t="shared" si="49"/>
        <v>0</v>
      </c>
    </row>
    <row r="114" spans="1:26" x14ac:dyDescent="0.25">
      <c r="A114" t="str">
        <f t="shared" si="25"/>
        <v>Data</v>
      </c>
      <c r="B114" t="str">
        <f t="shared" si="26"/>
        <v>Access 2007 Database</v>
      </c>
      <c r="C114" t="s">
        <v>319</v>
      </c>
      <c r="D114" s="1">
        <f t="shared" si="27"/>
        <v>0</v>
      </c>
      <c r="E114" s="1">
        <f t="shared" si="28"/>
        <v>0</v>
      </c>
      <c r="F114" s="1">
        <f t="shared" si="29"/>
        <v>0</v>
      </c>
      <c r="H114" s="1">
        <f t="shared" si="30"/>
        <v>0</v>
      </c>
      <c r="I114" s="1">
        <f t="shared" si="31"/>
        <v>0</v>
      </c>
      <c r="J114" s="1">
        <f t="shared" si="32"/>
        <v>0</v>
      </c>
      <c r="K114" s="1">
        <f t="shared" si="33"/>
        <v>0</v>
      </c>
      <c r="L114" s="1">
        <f t="shared" si="34"/>
        <v>0</v>
      </c>
      <c r="M114" s="1">
        <f t="shared" si="35"/>
        <v>0</v>
      </c>
      <c r="N114" s="1">
        <f t="shared" si="36"/>
        <v>0</v>
      </c>
      <c r="P114">
        <f t="shared" si="37"/>
        <v>0</v>
      </c>
      <c r="Q114" s="1">
        <f t="shared" si="38"/>
        <v>0</v>
      </c>
      <c r="R114">
        <f t="shared" si="39"/>
        <v>0</v>
      </c>
      <c r="S114">
        <f t="shared" si="40"/>
        <v>0</v>
      </c>
      <c r="T114">
        <f t="shared" si="41"/>
        <v>0</v>
      </c>
      <c r="U114">
        <f t="shared" si="42"/>
        <v>0</v>
      </c>
      <c r="V114">
        <f t="shared" si="43"/>
        <v>0</v>
      </c>
      <c r="W114">
        <f t="shared" si="44"/>
        <v>0</v>
      </c>
      <c r="X114">
        <f t="shared" si="45"/>
        <v>0</v>
      </c>
      <c r="Y114">
        <f t="shared" si="48"/>
        <v>0</v>
      </c>
      <c r="Z114">
        <f t="shared" si="49"/>
        <v>0</v>
      </c>
    </row>
    <row r="115" spans="1:26" x14ac:dyDescent="0.25">
      <c r="A115" t="str">
        <f t="shared" si="25"/>
        <v>Data</v>
      </c>
      <c r="B115" t="str">
        <f t="shared" si="26"/>
        <v>Backup file</v>
      </c>
      <c r="C115" t="s">
        <v>213</v>
      </c>
      <c r="D115" s="1">
        <f t="shared" si="27"/>
        <v>0</v>
      </c>
      <c r="E115" s="1">
        <f t="shared" si="28"/>
        <v>0</v>
      </c>
      <c r="F115" s="1">
        <f t="shared" si="29"/>
        <v>0</v>
      </c>
      <c r="H115" s="1">
        <f t="shared" si="30"/>
        <v>0</v>
      </c>
      <c r="I115" s="1">
        <f t="shared" si="31"/>
        <v>0</v>
      </c>
      <c r="J115" s="1">
        <f t="shared" si="32"/>
        <v>0</v>
      </c>
      <c r="K115" s="1">
        <f t="shared" si="33"/>
        <v>0</v>
      </c>
      <c r="L115" s="1">
        <f t="shared" si="34"/>
        <v>0</v>
      </c>
      <c r="M115" s="1">
        <f t="shared" si="35"/>
        <v>0</v>
      </c>
      <c r="N115" s="1">
        <f t="shared" si="36"/>
        <v>0</v>
      </c>
      <c r="P115">
        <f t="shared" si="37"/>
        <v>0</v>
      </c>
      <c r="Q115" s="1">
        <f t="shared" si="38"/>
        <v>0</v>
      </c>
      <c r="R115">
        <f t="shared" si="39"/>
        <v>0</v>
      </c>
      <c r="S115">
        <f t="shared" si="40"/>
        <v>0</v>
      </c>
      <c r="T115">
        <f t="shared" si="41"/>
        <v>0</v>
      </c>
      <c r="U115">
        <f t="shared" si="42"/>
        <v>0</v>
      </c>
      <c r="V115">
        <f t="shared" si="43"/>
        <v>0</v>
      </c>
      <c r="W115">
        <f t="shared" si="44"/>
        <v>0</v>
      </c>
      <c r="X115">
        <f t="shared" si="45"/>
        <v>0</v>
      </c>
      <c r="Y115">
        <f t="shared" si="48"/>
        <v>0</v>
      </c>
      <c r="Z115">
        <f t="shared" si="49"/>
        <v>0</v>
      </c>
    </row>
    <row r="116" spans="1:26" x14ac:dyDescent="0.25">
      <c r="A116" t="str">
        <f t="shared" si="25"/>
        <v>Data</v>
      </c>
      <c r="B116" t="str">
        <f t="shared" si="26"/>
        <v>Backup file</v>
      </c>
      <c r="C116" t="s">
        <v>167</v>
      </c>
      <c r="D116" s="1">
        <f t="shared" si="27"/>
        <v>0</v>
      </c>
      <c r="E116" s="1">
        <f t="shared" si="28"/>
        <v>0</v>
      </c>
      <c r="F116" s="1">
        <f t="shared" si="29"/>
        <v>0</v>
      </c>
      <c r="H116" s="1">
        <f t="shared" si="30"/>
        <v>0</v>
      </c>
      <c r="I116" s="1">
        <f t="shared" si="31"/>
        <v>0</v>
      </c>
      <c r="J116" s="1">
        <f t="shared" si="32"/>
        <v>0</v>
      </c>
      <c r="K116" s="1">
        <f t="shared" si="33"/>
        <v>0</v>
      </c>
      <c r="L116" s="1">
        <f t="shared" si="34"/>
        <v>0</v>
      </c>
      <c r="M116" s="1">
        <f t="shared" si="35"/>
        <v>0</v>
      </c>
      <c r="N116" s="1">
        <f t="shared" si="36"/>
        <v>0</v>
      </c>
      <c r="P116">
        <f t="shared" si="37"/>
        <v>0</v>
      </c>
      <c r="Q116" s="1">
        <f t="shared" si="38"/>
        <v>0</v>
      </c>
      <c r="R116">
        <f t="shared" si="39"/>
        <v>0</v>
      </c>
      <c r="S116">
        <f t="shared" si="40"/>
        <v>0</v>
      </c>
      <c r="T116">
        <f t="shared" si="41"/>
        <v>0</v>
      </c>
      <c r="U116">
        <f t="shared" si="42"/>
        <v>0</v>
      </c>
      <c r="V116">
        <f t="shared" si="43"/>
        <v>0</v>
      </c>
      <c r="W116">
        <f t="shared" si="44"/>
        <v>0</v>
      </c>
      <c r="X116">
        <f t="shared" si="45"/>
        <v>0</v>
      </c>
      <c r="Y116">
        <f t="shared" si="48"/>
        <v>0</v>
      </c>
      <c r="Z116">
        <f t="shared" si="49"/>
        <v>0</v>
      </c>
    </row>
    <row r="117" spans="1:26" x14ac:dyDescent="0.25">
      <c r="A117" t="str">
        <f t="shared" si="25"/>
        <v>Data</v>
      </c>
      <c r="B117" t="str">
        <f t="shared" si="26"/>
        <v>Backup file</v>
      </c>
      <c r="C117" t="s">
        <v>253</v>
      </c>
      <c r="D117" s="1">
        <f t="shared" si="27"/>
        <v>0</v>
      </c>
      <c r="E117" s="1">
        <f t="shared" si="28"/>
        <v>0</v>
      </c>
      <c r="F117" s="1">
        <f t="shared" si="29"/>
        <v>0</v>
      </c>
      <c r="H117" s="1">
        <f t="shared" si="30"/>
        <v>0</v>
      </c>
      <c r="I117" s="1">
        <f t="shared" si="31"/>
        <v>0</v>
      </c>
      <c r="J117" s="1">
        <f t="shared" si="32"/>
        <v>0</v>
      </c>
      <c r="K117" s="1">
        <f t="shared" si="33"/>
        <v>0</v>
      </c>
      <c r="L117" s="1">
        <f t="shared" si="34"/>
        <v>0</v>
      </c>
      <c r="M117" s="1">
        <f t="shared" si="35"/>
        <v>0</v>
      </c>
      <c r="N117" s="1">
        <f t="shared" si="36"/>
        <v>0</v>
      </c>
      <c r="P117">
        <f t="shared" si="37"/>
        <v>0</v>
      </c>
      <c r="Q117" s="1">
        <f t="shared" si="38"/>
        <v>0</v>
      </c>
      <c r="R117">
        <f t="shared" si="39"/>
        <v>0</v>
      </c>
      <c r="S117">
        <f t="shared" si="40"/>
        <v>0</v>
      </c>
      <c r="T117">
        <f t="shared" si="41"/>
        <v>0</v>
      </c>
      <c r="U117">
        <f t="shared" si="42"/>
        <v>0</v>
      </c>
      <c r="V117">
        <f t="shared" si="43"/>
        <v>0</v>
      </c>
      <c r="W117">
        <f t="shared" si="44"/>
        <v>0</v>
      </c>
      <c r="X117">
        <f t="shared" si="45"/>
        <v>0</v>
      </c>
      <c r="Y117">
        <f t="shared" si="48"/>
        <v>0</v>
      </c>
      <c r="Z117">
        <f t="shared" si="49"/>
        <v>0</v>
      </c>
    </row>
    <row r="118" spans="1:26" x14ac:dyDescent="0.25">
      <c r="A118" t="str">
        <f t="shared" si="25"/>
        <v>Data</v>
      </c>
      <c r="B118" t="str">
        <f t="shared" si="26"/>
        <v>Backup file</v>
      </c>
      <c r="C118" t="s">
        <v>231</v>
      </c>
      <c r="D118" s="1">
        <f t="shared" si="27"/>
        <v>0</v>
      </c>
      <c r="E118" s="1">
        <f t="shared" si="28"/>
        <v>0</v>
      </c>
      <c r="F118" s="1">
        <f t="shared" si="29"/>
        <v>0</v>
      </c>
      <c r="H118" s="1">
        <f t="shared" si="30"/>
        <v>0</v>
      </c>
      <c r="I118" s="1">
        <f t="shared" si="31"/>
        <v>0</v>
      </c>
      <c r="J118" s="1">
        <f t="shared" si="32"/>
        <v>0</v>
      </c>
      <c r="K118" s="1">
        <f t="shared" si="33"/>
        <v>0</v>
      </c>
      <c r="L118" s="1">
        <f t="shared" si="34"/>
        <v>0</v>
      </c>
      <c r="M118" s="1">
        <f t="shared" si="35"/>
        <v>0</v>
      </c>
      <c r="N118" s="1">
        <f t="shared" si="36"/>
        <v>0</v>
      </c>
      <c r="P118">
        <f t="shared" si="37"/>
        <v>0</v>
      </c>
      <c r="Q118" s="1">
        <f t="shared" si="38"/>
        <v>0</v>
      </c>
      <c r="R118">
        <f t="shared" si="39"/>
        <v>0</v>
      </c>
      <c r="S118">
        <f t="shared" si="40"/>
        <v>0</v>
      </c>
      <c r="T118">
        <f t="shared" si="41"/>
        <v>0</v>
      </c>
      <c r="U118">
        <f t="shared" si="42"/>
        <v>0</v>
      </c>
      <c r="V118">
        <f t="shared" si="43"/>
        <v>0</v>
      </c>
      <c r="W118">
        <f t="shared" si="44"/>
        <v>0</v>
      </c>
      <c r="X118">
        <f t="shared" si="45"/>
        <v>0</v>
      </c>
      <c r="Y118">
        <f t="shared" si="48"/>
        <v>0</v>
      </c>
      <c r="Z118">
        <f t="shared" si="49"/>
        <v>0</v>
      </c>
    </row>
    <row r="119" spans="1:26" x14ac:dyDescent="0.25">
      <c r="A119" t="str">
        <f t="shared" si="25"/>
        <v>Data</v>
      </c>
      <c r="B119" t="str">
        <f t="shared" si="26"/>
        <v>Btrieve Data File</v>
      </c>
      <c r="C119" t="s">
        <v>162</v>
      </c>
      <c r="D119" s="1">
        <f t="shared" si="27"/>
        <v>0</v>
      </c>
      <c r="E119" s="1">
        <f t="shared" si="28"/>
        <v>0</v>
      </c>
      <c r="F119" s="1">
        <f t="shared" si="29"/>
        <v>0</v>
      </c>
      <c r="H119" s="1">
        <f t="shared" si="30"/>
        <v>0</v>
      </c>
      <c r="I119" s="1">
        <f t="shared" si="31"/>
        <v>0</v>
      </c>
      <c r="J119" s="1">
        <f t="shared" si="32"/>
        <v>0</v>
      </c>
      <c r="K119" s="1">
        <f t="shared" si="33"/>
        <v>0</v>
      </c>
      <c r="L119" s="1">
        <f t="shared" si="34"/>
        <v>0</v>
      </c>
      <c r="M119" s="1">
        <f t="shared" si="35"/>
        <v>0</v>
      </c>
      <c r="N119" s="1">
        <f t="shared" si="36"/>
        <v>0</v>
      </c>
      <c r="P119">
        <f t="shared" si="37"/>
        <v>0</v>
      </c>
      <c r="Q119" s="1">
        <f t="shared" si="38"/>
        <v>0</v>
      </c>
      <c r="R119">
        <f t="shared" si="39"/>
        <v>0</v>
      </c>
      <c r="S119">
        <f t="shared" si="40"/>
        <v>0</v>
      </c>
      <c r="T119">
        <f t="shared" si="41"/>
        <v>0</v>
      </c>
      <c r="U119">
        <f t="shared" si="42"/>
        <v>0</v>
      </c>
      <c r="V119">
        <f t="shared" si="43"/>
        <v>0</v>
      </c>
      <c r="W119">
        <f t="shared" si="44"/>
        <v>0</v>
      </c>
      <c r="X119">
        <f t="shared" si="45"/>
        <v>0</v>
      </c>
      <c r="Y119">
        <f t="shared" si="48"/>
        <v>0</v>
      </c>
      <c r="Z119">
        <f t="shared" si="49"/>
        <v>0</v>
      </c>
    </row>
    <row r="120" spans="1:26" x14ac:dyDescent="0.25">
      <c r="A120" t="str">
        <f t="shared" si="25"/>
        <v>Data</v>
      </c>
      <c r="B120" t="str">
        <f t="shared" si="26"/>
        <v>Comma separated values</v>
      </c>
      <c r="C120" t="s">
        <v>249</v>
      </c>
      <c r="D120" s="1">
        <f t="shared" si="27"/>
        <v>0</v>
      </c>
      <c r="E120" s="1">
        <f t="shared" si="28"/>
        <v>0</v>
      </c>
      <c r="F120" s="1">
        <f t="shared" si="29"/>
        <v>0</v>
      </c>
      <c r="H120" s="1">
        <f t="shared" si="30"/>
        <v>0</v>
      </c>
      <c r="I120" s="1">
        <f t="shared" si="31"/>
        <v>0</v>
      </c>
      <c r="J120" s="1">
        <f t="shared" si="32"/>
        <v>0</v>
      </c>
      <c r="K120" s="1">
        <f t="shared" si="33"/>
        <v>0</v>
      </c>
      <c r="L120" s="1">
        <f t="shared" si="34"/>
        <v>0</v>
      </c>
      <c r="M120" s="1">
        <f t="shared" si="35"/>
        <v>0</v>
      </c>
      <c r="N120" s="1">
        <f t="shared" si="36"/>
        <v>0</v>
      </c>
      <c r="P120">
        <f t="shared" si="37"/>
        <v>0</v>
      </c>
      <c r="Q120" s="1">
        <f t="shared" si="38"/>
        <v>0</v>
      </c>
      <c r="R120">
        <f t="shared" si="39"/>
        <v>0</v>
      </c>
      <c r="S120">
        <f t="shared" si="40"/>
        <v>0</v>
      </c>
      <c r="T120">
        <f t="shared" si="41"/>
        <v>0</v>
      </c>
      <c r="U120">
        <f t="shared" si="42"/>
        <v>0</v>
      </c>
      <c r="V120">
        <f t="shared" si="43"/>
        <v>0</v>
      </c>
      <c r="W120">
        <f t="shared" si="44"/>
        <v>0</v>
      </c>
      <c r="X120">
        <f t="shared" si="45"/>
        <v>0</v>
      </c>
      <c r="Y120">
        <f t="shared" si="48"/>
        <v>0</v>
      </c>
      <c r="Z120">
        <f t="shared" si="49"/>
        <v>0</v>
      </c>
    </row>
    <row r="121" spans="1:26" x14ac:dyDescent="0.25">
      <c r="A121" t="str">
        <f t="shared" si="25"/>
        <v>Data</v>
      </c>
      <c r="B121" t="str">
        <f t="shared" si="26"/>
        <v>MapInfo File</v>
      </c>
      <c r="C121" t="s">
        <v>315</v>
      </c>
      <c r="D121" s="1">
        <f t="shared" si="27"/>
        <v>0</v>
      </c>
      <c r="E121" s="1">
        <f t="shared" si="28"/>
        <v>0</v>
      </c>
      <c r="F121" s="1">
        <f t="shared" si="29"/>
        <v>0</v>
      </c>
      <c r="H121" s="1">
        <f t="shared" si="30"/>
        <v>0</v>
      </c>
      <c r="I121" s="1">
        <f t="shared" si="31"/>
        <v>0</v>
      </c>
      <c r="J121" s="1">
        <f t="shared" si="32"/>
        <v>0</v>
      </c>
      <c r="K121" s="1">
        <f t="shared" si="33"/>
        <v>0</v>
      </c>
      <c r="L121" s="1">
        <f t="shared" si="34"/>
        <v>0</v>
      </c>
      <c r="M121" s="1">
        <f t="shared" si="35"/>
        <v>0</v>
      </c>
      <c r="N121" s="1">
        <f t="shared" si="36"/>
        <v>0</v>
      </c>
      <c r="P121">
        <f t="shared" si="37"/>
        <v>0</v>
      </c>
      <c r="Q121" s="1">
        <f t="shared" si="38"/>
        <v>0</v>
      </c>
      <c r="R121">
        <f t="shared" si="39"/>
        <v>0</v>
      </c>
      <c r="S121">
        <f t="shared" si="40"/>
        <v>0</v>
      </c>
      <c r="T121">
        <f t="shared" si="41"/>
        <v>0</v>
      </c>
      <c r="U121">
        <f t="shared" si="42"/>
        <v>0</v>
      </c>
      <c r="V121">
        <f t="shared" si="43"/>
        <v>0</v>
      </c>
      <c r="W121">
        <f t="shared" si="44"/>
        <v>0</v>
      </c>
      <c r="X121">
        <f t="shared" si="45"/>
        <v>0</v>
      </c>
      <c r="Y121">
        <f t="shared" si="48"/>
        <v>0</v>
      </c>
      <c r="Z121">
        <f t="shared" si="49"/>
        <v>0</v>
      </c>
    </row>
    <row r="122" spans="1:26" x14ac:dyDescent="0.25">
      <c r="A122" t="str">
        <f t="shared" si="25"/>
        <v>Data</v>
      </c>
      <c r="B122" t="str">
        <f t="shared" si="26"/>
        <v>DB File</v>
      </c>
      <c r="C122" t="s">
        <v>133</v>
      </c>
      <c r="D122" s="1">
        <f t="shared" si="27"/>
        <v>0</v>
      </c>
      <c r="E122" s="1">
        <f t="shared" si="28"/>
        <v>0</v>
      </c>
      <c r="F122" s="1">
        <f t="shared" si="29"/>
        <v>0</v>
      </c>
      <c r="H122" s="1">
        <f t="shared" si="30"/>
        <v>0</v>
      </c>
      <c r="I122" s="1">
        <f t="shared" si="31"/>
        <v>0</v>
      </c>
      <c r="J122" s="1">
        <f t="shared" si="32"/>
        <v>0</v>
      </c>
      <c r="K122" s="1">
        <f t="shared" si="33"/>
        <v>0</v>
      </c>
      <c r="L122" s="1">
        <f t="shared" si="34"/>
        <v>0</v>
      </c>
      <c r="M122" s="1">
        <f t="shared" si="35"/>
        <v>0</v>
      </c>
      <c r="N122" s="1">
        <f t="shared" si="36"/>
        <v>0</v>
      </c>
      <c r="P122">
        <f t="shared" si="37"/>
        <v>0</v>
      </c>
      <c r="Q122" s="1">
        <f t="shared" si="38"/>
        <v>0</v>
      </c>
      <c r="R122">
        <f t="shared" si="39"/>
        <v>0</v>
      </c>
      <c r="S122">
        <f t="shared" si="40"/>
        <v>0</v>
      </c>
      <c r="T122">
        <f t="shared" si="41"/>
        <v>0</v>
      </c>
      <c r="U122">
        <f t="shared" si="42"/>
        <v>0</v>
      </c>
      <c r="V122">
        <f t="shared" si="43"/>
        <v>0</v>
      </c>
      <c r="W122">
        <f t="shared" si="44"/>
        <v>0</v>
      </c>
      <c r="X122">
        <f t="shared" si="45"/>
        <v>0</v>
      </c>
      <c r="Y122">
        <f t="shared" si="48"/>
        <v>0</v>
      </c>
      <c r="Z122">
        <f t="shared" si="49"/>
        <v>0</v>
      </c>
    </row>
    <row r="123" spans="1:26" x14ac:dyDescent="0.25">
      <c r="A123" t="str">
        <f t="shared" si="25"/>
        <v>Data</v>
      </c>
      <c r="B123" t="str">
        <f t="shared" si="26"/>
        <v>Database</v>
      </c>
      <c r="C123" t="s">
        <v>317</v>
      </c>
      <c r="D123" s="1">
        <f t="shared" si="27"/>
        <v>0</v>
      </c>
      <c r="E123" s="1">
        <f t="shared" si="28"/>
        <v>0</v>
      </c>
      <c r="F123" s="1">
        <f t="shared" si="29"/>
        <v>0</v>
      </c>
      <c r="H123" s="1">
        <f t="shared" si="30"/>
        <v>0</v>
      </c>
      <c r="I123" s="1">
        <f t="shared" si="31"/>
        <v>0</v>
      </c>
      <c r="J123" s="1">
        <f t="shared" si="32"/>
        <v>0</v>
      </c>
      <c r="K123" s="1">
        <f t="shared" si="33"/>
        <v>0</v>
      </c>
      <c r="L123" s="1">
        <f t="shared" si="34"/>
        <v>0</v>
      </c>
      <c r="M123" s="1">
        <f t="shared" si="35"/>
        <v>0</v>
      </c>
      <c r="N123" s="1">
        <f t="shared" si="36"/>
        <v>0</v>
      </c>
      <c r="P123">
        <f t="shared" si="37"/>
        <v>0</v>
      </c>
      <c r="Q123" s="1">
        <f t="shared" si="38"/>
        <v>0</v>
      </c>
      <c r="R123">
        <f t="shared" si="39"/>
        <v>0</v>
      </c>
      <c r="S123">
        <f t="shared" si="40"/>
        <v>0</v>
      </c>
      <c r="T123">
        <f t="shared" si="41"/>
        <v>0</v>
      </c>
      <c r="U123">
        <f t="shared" si="42"/>
        <v>0</v>
      </c>
      <c r="V123">
        <f t="shared" si="43"/>
        <v>0</v>
      </c>
      <c r="W123">
        <f t="shared" si="44"/>
        <v>0</v>
      </c>
      <c r="X123">
        <f t="shared" si="45"/>
        <v>0</v>
      </c>
      <c r="Y123">
        <f t="shared" si="48"/>
        <v>0</v>
      </c>
      <c r="Z123">
        <f t="shared" si="49"/>
        <v>0</v>
      </c>
    </row>
    <row r="124" spans="1:26" x14ac:dyDescent="0.25">
      <c r="A124" t="str">
        <f t="shared" si="25"/>
        <v>Data</v>
      </c>
      <c r="B124" t="str">
        <f t="shared" si="26"/>
        <v>Geography Markup Language</v>
      </c>
      <c r="C124" t="s">
        <v>322</v>
      </c>
      <c r="D124" s="1">
        <f t="shared" si="27"/>
        <v>0</v>
      </c>
      <c r="E124" s="1">
        <f t="shared" si="28"/>
        <v>0</v>
      </c>
      <c r="F124" s="1">
        <f t="shared" si="29"/>
        <v>0</v>
      </c>
      <c r="H124" s="1">
        <f t="shared" si="30"/>
        <v>0</v>
      </c>
      <c r="I124" s="1">
        <f t="shared" si="31"/>
        <v>0</v>
      </c>
      <c r="J124" s="1">
        <f t="shared" si="32"/>
        <v>0</v>
      </c>
      <c r="K124" s="1">
        <f t="shared" si="33"/>
        <v>0</v>
      </c>
      <c r="L124" s="1">
        <f t="shared" si="34"/>
        <v>0</v>
      </c>
      <c r="M124" s="1">
        <f t="shared" si="35"/>
        <v>0</v>
      </c>
      <c r="N124" s="1">
        <f t="shared" si="36"/>
        <v>0</v>
      </c>
      <c r="P124">
        <f t="shared" si="37"/>
        <v>0</v>
      </c>
      <c r="Q124" s="1">
        <f t="shared" si="38"/>
        <v>0</v>
      </c>
      <c r="R124">
        <f t="shared" si="39"/>
        <v>0</v>
      </c>
      <c r="S124">
        <f t="shared" si="40"/>
        <v>0</v>
      </c>
      <c r="T124">
        <f t="shared" si="41"/>
        <v>0</v>
      </c>
      <c r="U124">
        <f t="shared" si="42"/>
        <v>0</v>
      </c>
      <c r="V124">
        <f t="shared" si="43"/>
        <v>0</v>
      </c>
      <c r="W124">
        <f t="shared" si="44"/>
        <v>0</v>
      </c>
      <c r="X124">
        <f t="shared" si="45"/>
        <v>0</v>
      </c>
      <c r="Y124">
        <f t="shared" si="48"/>
        <v>0</v>
      </c>
      <c r="Z124">
        <f t="shared" si="49"/>
        <v>0</v>
      </c>
    </row>
    <row r="125" spans="1:26" x14ac:dyDescent="0.25">
      <c r="A125" t="str">
        <f t="shared" si="25"/>
        <v>Data</v>
      </c>
      <c r="B125" t="str">
        <f t="shared" si="26"/>
        <v>HeuristicLab Data</v>
      </c>
      <c r="C125" t="s">
        <v>236</v>
      </c>
      <c r="D125" s="1">
        <f t="shared" si="27"/>
        <v>0</v>
      </c>
      <c r="E125" s="1">
        <f t="shared" si="28"/>
        <v>0</v>
      </c>
      <c r="F125" s="1">
        <f t="shared" si="29"/>
        <v>0</v>
      </c>
      <c r="H125" s="1">
        <f t="shared" si="30"/>
        <v>0</v>
      </c>
      <c r="I125" s="1">
        <f t="shared" si="31"/>
        <v>0</v>
      </c>
      <c r="J125" s="1">
        <f t="shared" si="32"/>
        <v>0</v>
      </c>
      <c r="K125" s="1">
        <f t="shared" si="33"/>
        <v>0</v>
      </c>
      <c r="L125" s="1">
        <f t="shared" si="34"/>
        <v>0</v>
      </c>
      <c r="M125" s="1">
        <f t="shared" si="35"/>
        <v>0</v>
      </c>
      <c r="N125" s="1">
        <f t="shared" si="36"/>
        <v>0</v>
      </c>
      <c r="P125">
        <f t="shared" si="37"/>
        <v>0</v>
      </c>
      <c r="Q125" s="1">
        <f t="shared" si="38"/>
        <v>0</v>
      </c>
      <c r="R125">
        <f t="shared" si="39"/>
        <v>0</v>
      </c>
      <c r="S125">
        <f t="shared" si="40"/>
        <v>0</v>
      </c>
      <c r="T125">
        <f t="shared" si="41"/>
        <v>0</v>
      </c>
      <c r="U125">
        <f t="shared" si="42"/>
        <v>0</v>
      </c>
      <c r="V125">
        <f t="shared" si="43"/>
        <v>0</v>
      </c>
      <c r="W125">
        <f t="shared" si="44"/>
        <v>0</v>
      </c>
      <c r="X125">
        <f t="shared" si="45"/>
        <v>0</v>
      </c>
      <c r="Y125">
        <f t="shared" si="48"/>
        <v>0</v>
      </c>
      <c r="Z125">
        <f t="shared" si="49"/>
        <v>0</v>
      </c>
    </row>
    <row r="126" spans="1:26" x14ac:dyDescent="0.25">
      <c r="A126" t="str">
        <f t="shared" si="25"/>
        <v>Data</v>
      </c>
      <c r="B126" t="str">
        <f t="shared" si="26"/>
        <v>MapInfo File</v>
      </c>
      <c r="C126" t="s">
        <v>316</v>
      </c>
      <c r="D126" s="1">
        <f t="shared" si="27"/>
        <v>0</v>
      </c>
      <c r="E126" s="1">
        <f t="shared" si="28"/>
        <v>0</v>
      </c>
      <c r="F126" s="1">
        <f t="shared" si="29"/>
        <v>0</v>
      </c>
      <c r="H126" s="1">
        <f t="shared" si="30"/>
        <v>0</v>
      </c>
      <c r="I126" s="1">
        <f t="shared" si="31"/>
        <v>0</v>
      </c>
      <c r="J126" s="1">
        <f t="shared" si="32"/>
        <v>0</v>
      </c>
      <c r="K126" s="1">
        <f t="shared" si="33"/>
        <v>0</v>
      </c>
      <c r="L126" s="1">
        <f t="shared" si="34"/>
        <v>0</v>
      </c>
      <c r="M126" s="1">
        <f t="shared" si="35"/>
        <v>0</v>
      </c>
      <c r="N126" s="1">
        <f t="shared" si="36"/>
        <v>0</v>
      </c>
      <c r="P126">
        <f t="shared" si="37"/>
        <v>0</v>
      </c>
      <c r="Q126" s="1">
        <f t="shared" si="38"/>
        <v>0</v>
      </c>
      <c r="R126">
        <f t="shared" si="39"/>
        <v>0</v>
      </c>
      <c r="S126">
        <f t="shared" si="40"/>
        <v>0</v>
      </c>
      <c r="T126">
        <f t="shared" si="41"/>
        <v>0</v>
      </c>
      <c r="U126">
        <f t="shared" si="42"/>
        <v>0</v>
      </c>
      <c r="V126">
        <f t="shared" si="43"/>
        <v>0</v>
      </c>
      <c r="W126">
        <f t="shared" si="44"/>
        <v>0</v>
      </c>
      <c r="X126">
        <f t="shared" si="45"/>
        <v>0</v>
      </c>
      <c r="Y126">
        <f t="shared" si="48"/>
        <v>0</v>
      </c>
      <c r="Z126">
        <f t="shared" si="49"/>
        <v>0</v>
      </c>
    </row>
    <row r="127" spans="1:26" x14ac:dyDescent="0.25">
      <c r="A127" t="str">
        <f t="shared" si="25"/>
        <v>Data</v>
      </c>
      <c r="B127" t="str">
        <f t="shared" si="26"/>
        <v>File or Folder Info</v>
      </c>
      <c r="C127" t="s">
        <v>250</v>
      </c>
      <c r="D127" s="1">
        <f t="shared" si="27"/>
        <v>0</v>
      </c>
      <c r="E127" s="1">
        <f t="shared" si="28"/>
        <v>0</v>
      </c>
      <c r="F127" s="1">
        <f t="shared" si="29"/>
        <v>0</v>
      </c>
      <c r="H127" s="1">
        <f t="shared" si="30"/>
        <v>0</v>
      </c>
      <c r="I127" s="1">
        <f t="shared" si="31"/>
        <v>0</v>
      </c>
      <c r="J127" s="1">
        <f t="shared" si="32"/>
        <v>0</v>
      </c>
      <c r="K127" s="1">
        <f t="shared" si="33"/>
        <v>0</v>
      </c>
      <c r="L127" s="1">
        <f t="shared" si="34"/>
        <v>0</v>
      </c>
      <c r="M127" s="1">
        <f t="shared" si="35"/>
        <v>0</v>
      </c>
      <c r="N127" s="1">
        <f t="shared" si="36"/>
        <v>0</v>
      </c>
      <c r="P127">
        <f t="shared" si="37"/>
        <v>0</v>
      </c>
      <c r="Q127" s="1">
        <f t="shared" si="38"/>
        <v>0</v>
      </c>
      <c r="R127">
        <f t="shared" si="39"/>
        <v>0</v>
      </c>
      <c r="S127">
        <f t="shared" si="40"/>
        <v>0</v>
      </c>
      <c r="T127">
        <f t="shared" si="41"/>
        <v>0</v>
      </c>
      <c r="U127">
        <f t="shared" si="42"/>
        <v>0</v>
      </c>
      <c r="V127">
        <f t="shared" si="43"/>
        <v>0</v>
      </c>
      <c r="W127">
        <f t="shared" si="44"/>
        <v>0</v>
      </c>
      <c r="X127">
        <f t="shared" si="45"/>
        <v>0</v>
      </c>
      <c r="Y127">
        <f t="shared" si="48"/>
        <v>0</v>
      </c>
      <c r="Z127">
        <f t="shared" si="49"/>
        <v>0</v>
      </c>
    </row>
    <row r="128" spans="1:26" x14ac:dyDescent="0.25">
      <c r="A128" t="str">
        <f t="shared" si="25"/>
        <v>Data</v>
      </c>
      <c r="B128" t="str">
        <f t="shared" si="26"/>
        <v>SQL Log File</v>
      </c>
      <c r="C128" t="s">
        <v>318</v>
      </c>
      <c r="D128" s="1">
        <f t="shared" si="27"/>
        <v>0</v>
      </c>
      <c r="E128" s="1">
        <f t="shared" si="28"/>
        <v>0</v>
      </c>
      <c r="F128" s="1">
        <f t="shared" si="29"/>
        <v>0</v>
      </c>
      <c r="H128" s="1">
        <f t="shared" si="30"/>
        <v>0</v>
      </c>
      <c r="I128" s="1">
        <f t="shared" si="31"/>
        <v>0</v>
      </c>
      <c r="J128" s="1">
        <f t="shared" si="32"/>
        <v>0</v>
      </c>
      <c r="K128" s="1">
        <f t="shared" si="33"/>
        <v>0</v>
      </c>
      <c r="L128" s="1">
        <f t="shared" si="34"/>
        <v>0</v>
      </c>
      <c r="M128" s="1">
        <f t="shared" si="35"/>
        <v>0</v>
      </c>
      <c r="N128" s="1">
        <f t="shared" si="36"/>
        <v>0</v>
      </c>
      <c r="P128">
        <f t="shared" si="37"/>
        <v>0</v>
      </c>
      <c r="Q128" s="1">
        <f t="shared" si="38"/>
        <v>0</v>
      </c>
      <c r="R128">
        <f t="shared" si="39"/>
        <v>0</v>
      </c>
      <c r="S128">
        <f t="shared" si="40"/>
        <v>0</v>
      </c>
      <c r="T128">
        <f t="shared" si="41"/>
        <v>0</v>
      </c>
      <c r="U128">
        <f t="shared" si="42"/>
        <v>0</v>
      </c>
      <c r="V128">
        <f t="shared" si="43"/>
        <v>0</v>
      </c>
      <c r="W128">
        <f t="shared" si="44"/>
        <v>0</v>
      </c>
      <c r="X128">
        <f t="shared" si="45"/>
        <v>0</v>
      </c>
      <c r="Y128">
        <f t="shared" si="48"/>
        <v>0</v>
      </c>
      <c r="Z128">
        <f t="shared" si="49"/>
        <v>0</v>
      </c>
    </row>
    <row r="129" spans="1:26" x14ac:dyDescent="0.25">
      <c r="A129" t="str">
        <f t="shared" si="25"/>
        <v>Data</v>
      </c>
      <c r="B129" t="str">
        <f t="shared" si="26"/>
        <v>MapInfo File</v>
      </c>
      <c r="C129" t="s">
        <v>205</v>
      </c>
      <c r="D129" s="1">
        <f t="shared" si="27"/>
        <v>0</v>
      </c>
      <c r="E129" s="1">
        <f t="shared" si="28"/>
        <v>0</v>
      </c>
      <c r="F129" s="1">
        <f t="shared" si="29"/>
        <v>0</v>
      </c>
      <c r="H129" s="1">
        <f t="shared" si="30"/>
        <v>0</v>
      </c>
      <c r="I129" s="1">
        <f t="shared" si="31"/>
        <v>0</v>
      </c>
      <c r="J129" s="1">
        <f t="shared" si="32"/>
        <v>0</v>
      </c>
      <c r="K129" s="1">
        <f t="shared" si="33"/>
        <v>0</v>
      </c>
      <c r="L129" s="1">
        <f t="shared" si="34"/>
        <v>0</v>
      </c>
      <c r="M129" s="1">
        <f t="shared" si="35"/>
        <v>0</v>
      </c>
      <c r="N129" s="1">
        <f t="shared" si="36"/>
        <v>0</v>
      </c>
      <c r="P129">
        <f t="shared" si="37"/>
        <v>0</v>
      </c>
      <c r="Q129" s="1">
        <f t="shared" si="38"/>
        <v>0</v>
      </c>
      <c r="R129">
        <f t="shared" si="39"/>
        <v>0</v>
      </c>
      <c r="S129">
        <f t="shared" si="40"/>
        <v>0</v>
      </c>
      <c r="T129">
        <f t="shared" si="41"/>
        <v>0</v>
      </c>
      <c r="U129">
        <f t="shared" si="42"/>
        <v>0</v>
      </c>
      <c r="V129">
        <f t="shared" si="43"/>
        <v>0</v>
      </c>
      <c r="W129">
        <f t="shared" si="44"/>
        <v>0</v>
      </c>
      <c r="X129">
        <f t="shared" si="45"/>
        <v>0</v>
      </c>
      <c r="Y129">
        <f t="shared" si="48"/>
        <v>0</v>
      </c>
      <c r="Z129">
        <f t="shared" si="49"/>
        <v>0</v>
      </c>
    </row>
    <row r="130" spans="1:26" x14ac:dyDescent="0.25">
      <c r="A130" t="str">
        <f t="shared" ref="A130:A193" si="50">LOOKUP(C130, lkpExt, lkpCat)</f>
        <v>Data</v>
      </c>
      <c r="B130" t="str">
        <f t="shared" ref="B130:B193" si="51">LOOKUP(C130,lkpExt,lkpDesc)</f>
        <v>Access Database</v>
      </c>
      <c r="C130" t="s">
        <v>199</v>
      </c>
      <c r="D130" s="1">
        <f t="shared" ref="D130:D193" si="52">SUMIF(Exts, C130,Bytes)</f>
        <v>0</v>
      </c>
      <c r="E130" s="1">
        <f t="shared" ref="E130:E193" si="53">IF(P130&gt;0,D130/P130,0)</f>
        <v>0</v>
      </c>
      <c r="F130" s="1">
        <f t="shared" ref="F130:F193" si="54">D130/1024/1024</f>
        <v>0</v>
      </c>
      <c r="H130" s="1">
        <f t="shared" ref="H130:H193" si="55">SUMIFS(Bytes,Exts, C130,Age,0)/1024/1024</f>
        <v>0</v>
      </c>
      <c r="I130" s="1">
        <f t="shared" ref="I130:I193" si="56">SUMIFS(Bytes,Exts, C130,Age,1)/1024/1024</f>
        <v>0</v>
      </c>
      <c r="J130" s="1">
        <f t="shared" ref="J130:J193" si="57">SUMIFS(Bytes,Exts, C130,Age,2)/1024/1024</f>
        <v>0</v>
      </c>
      <c r="K130" s="1">
        <f t="shared" ref="K130:K193" si="58">SUMIFS(Bytes,Exts, C130,Age,3)/1024/1024</f>
        <v>0</v>
      </c>
      <c r="L130" s="1">
        <f t="shared" ref="L130:L193" si="59">SUMIFS(Bytes,Exts, C130,Age,4)/1024/1024</f>
        <v>0</v>
      </c>
      <c r="M130" s="1">
        <f t="shared" ref="M130:M193" si="60">SUMIFS(Bytes,Exts, C130,Age,"&lt;5")/1024/1024</f>
        <v>0</v>
      </c>
      <c r="N130" s="1">
        <f t="shared" ref="N130:N193" si="61">SUMIFS(Bytes,Exts, C130,Age,"&gt;=5")/1024/1024</f>
        <v>0</v>
      </c>
      <c r="P130">
        <f t="shared" ref="P130:P193" si="62">COUNTIF(Exts, C130)</f>
        <v>0</v>
      </c>
      <c r="Q130" s="1">
        <f t="shared" ref="Q130:Q193" si="63">COUNTIFS(Exts,C130,Age,0)</f>
        <v>0</v>
      </c>
      <c r="R130">
        <f t="shared" ref="R130:R193" si="64">COUNTIFS(Exts,C130,Age,1)</f>
        <v>0</v>
      </c>
      <c r="S130">
        <f t="shared" ref="S130:S193" si="65">COUNTIFS(Exts,C130,Age,2)</f>
        <v>0</v>
      </c>
      <c r="T130">
        <f t="shared" ref="T130:T193" si="66">COUNTIFS(Exts,C130,Age,3)</f>
        <v>0</v>
      </c>
      <c r="U130">
        <f t="shared" ref="U130:U193" si="67">COUNTIFS(Exts,C130,Age,4)</f>
        <v>0</v>
      </c>
      <c r="V130">
        <f t="shared" ref="V130:V193" si="68">COUNTIFS(Exts,C130,Age,"&lt;5")</f>
        <v>0</v>
      </c>
      <c r="W130">
        <f t="shared" ref="W130:W193" si="69">COUNTIFS(Exts,C130,Age,"&gt;=5")</f>
        <v>0</v>
      </c>
      <c r="X130">
        <f t="shared" ref="X130:X193" si="70">COUNTIFS(Exts,C130,Age,"&gt;=10")</f>
        <v>0</v>
      </c>
      <c r="Y130">
        <f t="shared" si="48"/>
        <v>0</v>
      </c>
      <c r="Z130">
        <f t="shared" si="49"/>
        <v>0</v>
      </c>
    </row>
    <row r="131" spans="1:26" x14ac:dyDescent="0.25">
      <c r="A131" t="str">
        <f t="shared" si="50"/>
        <v>Data</v>
      </c>
      <c r="B131" t="str">
        <f t="shared" si="51"/>
        <v>SQL Data File</v>
      </c>
      <c r="C131" t="s">
        <v>320</v>
      </c>
      <c r="D131" s="1">
        <f t="shared" si="52"/>
        <v>0</v>
      </c>
      <c r="E131" s="1">
        <f t="shared" si="53"/>
        <v>0</v>
      </c>
      <c r="F131" s="1">
        <f t="shared" si="54"/>
        <v>0</v>
      </c>
      <c r="H131" s="1">
        <f t="shared" si="55"/>
        <v>0</v>
      </c>
      <c r="I131" s="1">
        <f t="shared" si="56"/>
        <v>0</v>
      </c>
      <c r="J131" s="1">
        <f t="shared" si="57"/>
        <v>0</v>
      </c>
      <c r="K131" s="1">
        <f t="shared" si="58"/>
        <v>0</v>
      </c>
      <c r="L131" s="1">
        <f t="shared" si="59"/>
        <v>0</v>
      </c>
      <c r="M131" s="1">
        <f t="shared" si="60"/>
        <v>0</v>
      </c>
      <c r="N131" s="1">
        <f t="shared" si="61"/>
        <v>0</v>
      </c>
      <c r="P131">
        <f t="shared" si="62"/>
        <v>0</v>
      </c>
      <c r="Q131" s="1">
        <f t="shared" si="63"/>
        <v>0</v>
      </c>
      <c r="R131">
        <f t="shared" si="64"/>
        <v>0</v>
      </c>
      <c r="S131">
        <f t="shared" si="65"/>
        <v>0</v>
      </c>
      <c r="T131">
        <f t="shared" si="66"/>
        <v>0</v>
      </c>
      <c r="U131">
        <f t="shared" si="67"/>
        <v>0</v>
      </c>
      <c r="V131">
        <f t="shared" si="68"/>
        <v>0</v>
      </c>
      <c r="W131">
        <f t="shared" si="69"/>
        <v>0</v>
      </c>
      <c r="X131">
        <f t="shared" si="70"/>
        <v>0</v>
      </c>
      <c r="Y131">
        <f t="shared" si="48"/>
        <v>0</v>
      </c>
      <c r="Z131">
        <f t="shared" si="49"/>
        <v>0</v>
      </c>
    </row>
    <row r="132" spans="1:26" x14ac:dyDescent="0.25">
      <c r="A132" t="str">
        <f t="shared" si="50"/>
        <v>Data</v>
      </c>
      <c r="B132" t="str">
        <f t="shared" si="51"/>
        <v>MapInfo Interchange Format / Memory Initialization</v>
      </c>
      <c r="C132" t="s">
        <v>259</v>
      </c>
      <c r="D132" s="1">
        <f t="shared" si="52"/>
        <v>0</v>
      </c>
      <c r="E132" s="1">
        <f t="shared" si="53"/>
        <v>0</v>
      </c>
      <c r="F132" s="1">
        <f t="shared" si="54"/>
        <v>0</v>
      </c>
      <c r="H132" s="1">
        <f t="shared" si="55"/>
        <v>0</v>
      </c>
      <c r="I132" s="1">
        <f t="shared" si="56"/>
        <v>0</v>
      </c>
      <c r="J132" s="1">
        <f t="shared" si="57"/>
        <v>0</v>
      </c>
      <c r="K132" s="1">
        <f t="shared" si="58"/>
        <v>0</v>
      </c>
      <c r="L132" s="1">
        <f t="shared" si="59"/>
        <v>0</v>
      </c>
      <c r="M132" s="1">
        <f t="shared" si="60"/>
        <v>0</v>
      </c>
      <c r="N132" s="1">
        <f t="shared" si="61"/>
        <v>0</v>
      </c>
      <c r="P132">
        <f t="shared" si="62"/>
        <v>0</v>
      </c>
      <c r="Q132" s="1">
        <f t="shared" si="63"/>
        <v>0</v>
      </c>
      <c r="R132">
        <f t="shared" si="64"/>
        <v>0</v>
      </c>
      <c r="S132">
        <f t="shared" si="65"/>
        <v>0</v>
      </c>
      <c r="T132">
        <f t="shared" si="66"/>
        <v>0</v>
      </c>
      <c r="U132">
        <f t="shared" si="67"/>
        <v>0</v>
      </c>
      <c r="V132">
        <f t="shared" si="68"/>
        <v>0</v>
      </c>
      <c r="W132">
        <f t="shared" si="69"/>
        <v>0</v>
      </c>
      <c r="X132">
        <f t="shared" si="70"/>
        <v>0</v>
      </c>
      <c r="Y132">
        <f t="shared" si="48"/>
        <v>0</v>
      </c>
      <c r="Z132">
        <f t="shared" si="49"/>
        <v>0</v>
      </c>
    </row>
    <row r="133" spans="1:26" x14ac:dyDescent="0.25">
      <c r="A133" t="str">
        <f t="shared" si="50"/>
        <v>Data</v>
      </c>
      <c r="B133" t="str">
        <f t="shared" si="51"/>
        <v>Macromedia Design Note</v>
      </c>
      <c r="C133" t="s">
        <v>172</v>
      </c>
      <c r="D133" s="1">
        <f t="shared" si="52"/>
        <v>0</v>
      </c>
      <c r="E133" s="1">
        <f t="shared" si="53"/>
        <v>0</v>
      </c>
      <c r="F133" s="1">
        <f t="shared" si="54"/>
        <v>0</v>
      </c>
      <c r="H133" s="1">
        <f t="shared" si="55"/>
        <v>0</v>
      </c>
      <c r="I133" s="1">
        <f t="shared" si="56"/>
        <v>0</v>
      </c>
      <c r="J133" s="1">
        <f t="shared" si="57"/>
        <v>0</v>
      </c>
      <c r="K133" s="1">
        <f t="shared" si="58"/>
        <v>0</v>
      </c>
      <c r="L133" s="1">
        <f t="shared" si="59"/>
        <v>0</v>
      </c>
      <c r="M133" s="1">
        <f t="shared" si="60"/>
        <v>0</v>
      </c>
      <c r="N133" s="1">
        <f t="shared" si="61"/>
        <v>0</v>
      </c>
      <c r="P133">
        <f t="shared" si="62"/>
        <v>0</v>
      </c>
      <c r="Q133" s="1">
        <f t="shared" si="63"/>
        <v>0</v>
      </c>
      <c r="R133">
        <f t="shared" si="64"/>
        <v>0</v>
      </c>
      <c r="S133">
        <f t="shared" si="65"/>
        <v>0</v>
      </c>
      <c r="T133">
        <f t="shared" si="66"/>
        <v>0</v>
      </c>
      <c r="U133">
        <f t="shared" si="67"/>
        <v>0</v>
      </c>
      <c r="V133">
        <f t="shared" si="68"/>
        <v>0</v>
      </c>
      <c r="W133">
        <f t="shared" si="69"/>
        <v>0</v>
      </c>
      <c r="X133">
        <f t="shared" si="70"/>
        <v>0</v>
      </c>
      <c r="Y133">
        <f t="shared" si="48"/>
        <v>0</v>
      </c>
      <c r="Z133">
        <f t="shared" si="49"/>
        <v>0</v>
      </c>
    </row>
    <row r="134" spans="1:26" x14ac:dyDescent="0.25">
      <c r="A134" t="str">
        <f t="shared" si="50"/>
        <v>Data</v>
      </c>
      <c r="B134" t="str">
        <f t="shared" si="51"/>
        <v>ESRI ArcGIS Project</v>
      </c>
      <c r="C134" t="s">
        <v>323</v>
      </c>
      <c r="D134" s="1">
        <f t="shared" si="52"/>
        <v>0</v>
      </c>
      <c r="E134" s="1">
        <f t="shared" si="53"/>
        <v>0</v>
      </c>
      <c r="F134" s="1">
        <f t="shared" si="54"/>
        <v>0</v>
      </c>
      <c r="H134" s="1">
        <f t="shared" si="55"/>
        <v>0</v>
      </c>
      <c r="I134" s="1">
        <f t="shared" si="56"/>
        <v>0</v>
      </c>
      <c r="J134" s="1">
        <f t="shared" si="57"/>
        <v>0</v>
      </c>
      <c r="K134" s="1">
        <f t="shared" si="58"/>
        <v>0</v>
      </c>
      <c r="L134" s="1">
        <f t="shared" si="59"/>
        <v>0</v>
      </c>
      <c r="M134" s="1">
        <f t="shared" si="60"/>
        <v>0</v>
      </c>
      <c r="N134" s="1">
        <f t="shared" si="61"/>
        <v>0</v>
      </c>
      <c r="P134">
        <f t="shared" si="62"/>
        <v>0</v>
      </c>
      <c r="Q134" s="1">
        <f t="shared" si="63"/>
        <v>0</v>
      </c>
      <c r="R134">
        <f t="shared" si="64"/>
        <v>0</v>
      </c>
      <c r="S134">
        <f t="shared" si="65"/>
        <v>0</v>
      </c>
      <c r="T134">
        <f t="shared" si="66"/>
        <v>0</v>
      </c>
      <c r="U134">
        <f t="shared" si="67"/>
        <v>0</v>
      </c>
      <c r="V134">
        <f t="shared" si="68"/>
        <v>0</v>
      </c>
      <c r="W134">
        <f t="shared" si="69"/>
        <v>0</v>
      </c>
      <c r="X134">
        <f t="shared" si="70"/>
        <v>0</v>
      </c>
      <c r="Y134">
        <f t="shared" si="48"/>
        <v>0</v>
      </c>
      <c r="Z134">
        <f t="shared" si="49"/>
        <v>0</v>
      </c>
    </row>
    <row r="135" spans="1:26" x14ac:dyDescent="0.25">
      <c r="A135" t="str">
        <f t="shared" si="50"/>
        <v>Data</v>
      </c>
      <c r="B135" t="str">
        <f t="shared" si="51"/>
        <v>Notes Database</v>
      </c>
      <c r="C135" t="s">
        <v>321</v>
      </c>
      <c r="D135" s="1">
        <f t="shared" si="52"/>
        <v>0</v>
      </c>
      <c r="E135" s="1">
        <f t="shared" si="53"/>
        <v>0</v>
      </c>
      <c r="F135" s="1">
        <f t="shared" si="54"/>
        <v>0</v>
      </c>
      <c r="H135" s="1">
        <f t="shared" si="55"/>
        <v>0</v>
      </c>
      <c r="I135" s="1">
        <f t="shared" si="56"/>
        <v>0</v>
      </c>
      <c r="J135" s="1">
        <f t="shared" si="57"/>
        <v>0</v>
      </c>
      <c r="K135" s="1">
        <f t="shared" si="58"/>
        <v>0</v>
      </c>
      <c r="L135" s="1">
        <f t="shared" si="59"/>
        <v>0</v>
      </c>
      <c r="M135" s="1">
        <f t="shared" si="60"/>
        <v>0</v>
      </c>
      <c r="N135" s="1">
        <f t="shared" si="61"/>
        <v>0</v>
      </c>
      <c r="P135">
        <f t="shared" si="62"/>
        <v>0</v>
      </c>
      <c r="Q135" s="1">
        <f t="shared" si="63"/>
        <v>0</v>
      </c>
      <c r="R135">
        <f t="shared" si="64"/>
        <v>0</v>
      </c>
      <c r="S135">
        <f t="shared" si="65"/>
        <v>0</v>
      </c>
      <c r="T135">
        <f t="shared" si="66"/>
        <v>0</v>
      </c>
      <c r="U135">
        <f t="shared" si="67"/>
        <v>0</v>
      </c>
      <c r="V135">
        <f t="shared" si="68"/>
        <v>0</v>
      </c>
      <c r="W135">
        <f t="shared" si="69"/>
        <v>0</v>
      </c>
      <c r="X135">
        <f t="shared" si="70"/>
        <v>0</v>
      </c>
      <c r="Y135">
        <f t="shared" ref="Y135:Y166" si="71">COUNTIFS(Exts,C135,Age,"&gt;=15")</f>
        <v>0</v>
      </c>
      <c r="Z135">
        <f t="shared" ref="Z135:Z166" si="72">COUNTIFS(Exts,C135,Age,"&gt;=20")</f>
        <v>0</v>
      </c>
    </row>
    <row r="136" spans="1:26" x14ac:dyDescent="0.25">
      <c r="A136" t="str">
        <f t="shared" si="50"/>
        <v>Data</v>
      </c>
      <c r="B136" t="str">
        <f t="shared" si="51"/>
        <v>Backup file</v>
      </c>
      <c r="C136" t="s">
        <v>154</v>
      </c>
      <c r="D136" s="1">
        <f t="shared" si="52"/>
        <v>0</v>
      </c>
      <c r="E136" s="1">
        <f t="shared" si="53"/>
        <v>0</v>
      </c>
      <c r="F136" s="1">
        <f t="shared" si="54"/>
        <v>0</v>
      </c>
      <c r="H136" s="1">
        <f t="shared" si="55"/>
        <v>0</v>
      </c>
      <c r="I136" s="1">
        <f t="shared" si="56"/>
        <v>0</v>
      </c>
      <c r="J136" s="1">
        <f t="shared" si="57"/>
        <v>0</v>
      </c>
      <c r="K136" s="1">
        <f t="shared" si="58"/>
        <v>0</v>
      </c>
      <c r="L136" s="1">
        <f t="shared" si="59"/>
        <v>0</v>
      </c>
      <c r="M136" s="1">
        <f t="shared" si="60"/>
        <v>0</v>
      </c>
      <c r="N136" s="1">
        <f t="shared" si="61"/>
        <v>0</v>
      </c>
      <c r="P136">
        <f t="shared" si="62"/>
        <v>0</v>
      </c>
      <c r="Q136" s="1">
        <f t="shared" si="63"/>
        <v>0</v>
      </c>
      <c r="R136">
        <f t="shared" si="64"/>
        <v>0</v>
      </c>
      <c r="S136">
        <f t="shared" si="65"/>
        <v>0</v>
      </c>
      <c r="T136">
        <f t="shared" si="66"/>
        <v>0</v>
      </c>
      <c r="U136">
        <f t="shared" si="67"/>
        <v>0</v>
      </c>
      <c r="V136">
        <f t="shared" si="68"/>
        <v>0</v>
      </c>
      <c r="W136">
        <f t="shared" si="69"/>
        <v>0</v>
      </c>
      <c r="X136">
        <f t="shared" si="70"/>
        <v>0</v>
      </c>
      <c r="Y136">
        <f t="shared" si="71"/>
        <v>0</v>
      </c>
      <c r="Z136">
        <f t="shared" si="72"/>
        <v>0</v>
      </c>
    </row>
    <row r="137" spans="1:26" x14ac:dyDescent="0.25">
      <c r="A137" t="str">
        <f t="shared" si="50"/>
        <v>Data</v>
      </c>
      <c r="B137" t="str">
        <f t="shared" si="51"/>
        <v>Backup file</v>
      </c>
      <c r="C137" t="s">
        <v>261</v>
      </c>
      <c r="D137" s="1">
        <f t="shared" si="52"/>
        <v>0</v>
      </c>
      <c r="E137" s="1">
        <f t="shared" si="53"/>
        <v>0</v>
      </c>
      <c r="F137" s="1">
        <f t="shared" si="54"/>
        <v>0</v>
      </c>
      <c r="H137" s="1">
        <f t="shared" si="55"/>
        <v>0</v>
      </c>
      <c r="I137" s="1">
        <f t="shared" si="56"/>
        <v>0</v>
      </c>
      <c r="J137" s="1">
        <f t="shared" si="57"/>
        <v>0</v>
      </c>
      <c r="K137" s="1">
        <f t="shared" si="58"/>
        <v>0</v>
      </c>
      <c r="L137" s="1">
        <f t="shared" si="59"/>
        <v>0</v>
      </c>
      <c r="M137" s="1">
        <f t="shared" si="60"/>
        <v>0</v>
      </c>
      <c r="N137" s="1">
        <f t="shared" si="61"/>
        <v>0</v>
      </c>
      <c r="P137">
        <f t="shared" si="62"/>
        <v>0</v>
      </c>
      <c r="Q137" s="1">
        <f t="shared" si="63"/>
        <v>0</v>
      </c>
      <c r="R137">
        <f t="shared" si="64"/>
        <v>0</v>
      </c>
      <c r="S137">
        <f t="shared" si="65"/>
        <v>0</v>
      </c>
      <c r="T137">
        <f t="shared" si="66"/>
        <v>0</v>
      </c>
      <c r="U137">
        <f t="shared" si="67"/>
        <v>0</v>
      </c>
      <c r="V137">
        <f t="shared" si="68"/>
        <v>0</v>
      </c>
      <c r="W137">
        <f t="shared" si="69"/>
        <v>0</v>
      </c>
      <c r="X137">
        <f t="shared" si="70"/>
        <v>0</v>
      </c>
      <c r="Y137">
        <f t="shared" si="71"/>
        <v>0</v>
      </c>
      <c r="Z137">
        <f t="shared" si="72"/>
        <v>0</v>
      </c>
    </row>
    <row r="138" spans="1:26" x14ac:dyDescent="0.25">
      <c r="A138" t="str">
        <f t="shared" si="50"/>
        <v>Data</v>
      </c>
      <c r="B138" t="str">
        <f t="shared" si="51"/>
        <v>Program Database (Quicken, VS, PalmPilot)</v>
      </c>
      <c r="C138" t="s">
        <v>180</v>
      </c>
      <c r="D138" s="1">
        <f t="shared" si="52"/>
        <v>0</v>
      </c>
      <c r="E138" s="1">
        <f t="shared" si="53"/>
        <v>0</v>
      </c>
      <c r="F138" s="1">
        <f t="shared" si="54"/>
        <v>0</v>
      </c>
      <c r="H138" s="1">
        <f t="shared" si="55"/>
        <v>0</v>
      </c>
      <c r="I138" s="1">
        <f t="shared" si="56"/>
        <v>0</v>
      </c>
      <c r="J138" s="1">
        <f t="shared" si="57"/>
        <v>0</v>
      </c>
      <c r="K138" s="1">
        <f t="shared" si="58"/>
        <v>0</v>
      </c>
      <c r="L138" s="1">
        <f t="shared" si="59"/>
        <v>0</v>
      </c>
      <c r="M138" s="1">
        <f t="shared" si="60"/>
        <v>0</v>
      </c>
      <c r="N138" s="1">
        <f t="shared" si="61"/>
        <v>0</v>
      </c>
      <c r="P138">
        <f t="shared" si="62"/>
        <v>0</v>
      </c>
      <c r="Q138" s="1">
        <f t="shared" si="63"/>
        <v>0</v>
      </c>
      <c r="R138">
        <f t="shared" si="64"/>
        <v>0</v>
      </c>
      <c r="S138">
        <f t="shared" si="65"/>
        <v>0</v>
      </c>
      <c r="T138">
        <f t="shared" si="66"/>
        <v>0</v>
      </c>
      <c r="U138">
        <f t="shared" si="67"/>
        <v>0</v>
      </c>
      <c r="V138">
        <f t="shared" si="68"/>
        <v>0</v>
      </c>
      <c r="W138">
        <f t="shared" si="69"/>
        <v>0</v>
      </c>
      <c r="X138">
        <f t="shared" si="70"/>
        <v>0</v>
      </c>
      <c r="Y138">
        <f t="shared" si="71"/>
        <v>0</v>
      </c>
      <c r="Z138">
        <f t="shared" si="72"/>
        <v>0</v>
      </c>
    </row>
    <row r="139" spans="1:26" x14ac:dyDescent="0.25">
      <c r="A139" t="str">
        <f t="shared" si="50"/>
        <v>Data</v>
      </c>
      <c r="B139" t="str">
        <f t="shared" si="51"/>
        <v>SPSS Data / Saved Game</v>
      </c>
      <c r="C139" t="s">
        <v>325</v>
      </c>
      <c r="D139" s="1">
        <f t="shared" si="52"/>
        <v>0</v>
      </c>
      <c r="E139" s="1">
        <f t="shared" si="53"/>
        <v>0</v>
      </c>
      <c r="F139" s="1">
        <f t="shared" si="54"/>
        <v>0</v>
      </c>
      <c r="H139" s="1">
        <f t="shared" si="55"/>
        <v>0</v>
      </c>
      <c r="I139" s="1">
        <f t="shared" si="56"/>
        <v>0</v>
      </c>
      <c r="J139" s="1">
        <f t="shared" si="57"/>
        <v>0</v>
      </c>
      <c r="K139" s="1">
        <f t="shared" si="58"/>
        <v>0</v>
      </c>
      <c r="L139" s="1">
        <f t="shared" si="59"/>
        <v>0</v>
      </c>
      <c r="M139" s="1">
        <f t="shared" si="60"/>
        <v>0</v>
      </c>
      <c r="N139" s="1">
        <f t="shared" si="61"/>
        <v>0</v>
      </c>
      <c r="P139">
        <f t="shared" si="62"/>
        <v>0</v>
      </c>
      <c r="Q139" s="1">
        <f t="shared" si="63"/>
        <v>0</v>
      </c>
      <c r="R139">
        <f t="shared" si="64"/>
        <v>0</v>
      </c>
      <c r="S139">
        <f t="shared" si="65"/>
        <v>0</v>
      </c>
      <c r="T139">
        <f t="shared" si="66"/>
        <v>0</v>
      </c>
      <c r="U139">
        <f t="shared" si="67"/>
        <v>0</v>
      </c>
      <c r="V139">
        <f t="shared" si="68"/>
        <v>0</v>
      </c>
      <c r="W139">
        <f t="shared" si="69"/>
        <v>0</v>
      </c>
      <c r="X139">
        <f t="shared" si="70"/>
        <v>0</v>
      </c>
      <c r="Y139">
        <f t="shared" si="71"/>
        <v>0</v>
      </c>
      <c r="Z139">
        <f t="shared" si="72"/>
        <v>0</v>
      </c>
    </row>
    <row r="140" spans="1:26" x14ac:dyDescent="0.25">
      <c r="A140" t="str">
        <f t="shared" si="50"/>
        <v>Data</v>
      </c>
      <c r="B140" t="str">
        <f t="shared" si="51"/>
        <v>SQL Query File</v>
      </c>
      <c r="C140" t="s">
        <v>246</v>
      </c>
      <c r="D140" s="1">
        <f t="shared" si="52"/>
        <v>0</v>
      </c>
      <c r="E140" s="1">
        <f t="shared" si="53"/>
        <v>0</v>
      </c>
      <c r="F140" s="1">
        <f t="shared" si="54"/>
        <v>0</v>
      </c>
      <c r="H140" s="1">
        <f t="shared" si="55"/>
        <v>0</v>
      </c>
      <c r="I140" s="1">
        <f t="shared" si="56"/>
        <v>0</v>
      </c>
      <c r="J140" s="1">
        <f t="shared" si="57"/>
        <v>0</v>
      </c>
      <c r="K140" s="1">
        <f t="shared" si="58"/>
        <v>0</v>
      </c>
      <c r="L140" s="1">
        <f t="shared" si="59"/>
        <v>0</v>
      </c>
      <c r="M140" s="1">
        <f t="shared" si="60"/>
        <v>0</v>
      </c>
      <c r="N140" s="1">
        <f t="shared" si="61"/>
        <v>0</v>
      </c>
      <c r="P140">
        <f t="shared" si="62"/>
        <v>0</v>
      </c>
      <c r="Q140" s="1">
        <f t="shared" si="63"/>
        <v>0</v>
      </c>
      <c r="R140">
        <f t="shared" si="64"/>
        <v>0</v>
      </c>
      <c r="S140">
        <f t="shared" si="65"/>
        <v>0</v>
      </c>
      <c r="T140">
        <f t="shared" si="66"/>
        <v>0</v>
      </c>
      <c r="U140">
        <f t="shared" si="67"/>
        <v>0</v>
      </c>
      <c r="V140">
        <f t="shared" si="68"/>
        <v>0</v>
      </c>
      <c r="W140">
        <f t="shared" si="69"/>
        <v>0</v>
      </c>
      <c r="X140">
        <f t="shared" si="70"/>
        <v>0</v>
      </c>
      <c r="Y140">
        <f t="shared" si="71"/>
        <v>0</v>
      </c>
      <c r="Z140">
        <f t="shared" si="72"/>
        <v>0</v>
      </c>
    </row>
    <row r="141" spans="1:26" x14ac:dyDescent="0.25">
      <c r="A141" t="str">
        <f t="shared" si="50"/>
        <v>Data</v>
      </c>
      <c r="B141" t="str">
        <f t="shared" si="51"/>
        <v>MapInfo File (or Tab-delimited)</v>
      </c>
      <c r="C141" t="s">
        <v>258</v>
      </c>
      <c r="D141" s="1">
        <f t="shared" si="52"/>
        <v>0</v>
      </c>
      <c r="E141" s="1">
        <f t="shared" si="53"/>
        <v>0</v>
      </c>
      <c r="F141" s="1">
        <f t="shared" si="54"/>
        <v>0</v>
      </c>
      <c r="H141" s="1">
        <f t="shared" si="55"/>
        <v>0</v>
      </c>
      <c r="I141" s="1">
        <f t="shared" si="56"/>
        <v>0</v>
      </c>
      <c r="J141" s="1">
        <f t="shared" si="57"/>
        <v>0</v>
      </c>
      <c r="K141" s="1">
        <f t="shared" si="58"/>
        <v>0</v>
      </c>
      <c r="L141" s="1">
        <f t="shared" si="59"/>
        <v>0</v>
      </c>
      <c r="M141" s="1">
        <f t="shared" si="60"/>
        <v>0</v>
      </c>
      <c r="N141" s="1">
        <f t="shared" si="61"/>
        <v>0</v>
      </c>
      <c r="P141">
        <f t="shared" si="62"/>
        <v>0</v>
      </c>
      <c r="Q141" s="1">
        <f t="shared" si="63"/>
        <v>0</v>
      </c>
      <c r="R141">
        <f t="shared" si="64"/>
        <v>0</v>
      </c>
      <c r="S141">
        <f t="shared" si="65"/>
        <v>0</v>
      </c>
      <c r="T141">
        <f t="shared" si="66"/>
        <v>0</v>
      </c>
      <c r="U141">
        <f t="shared" si="67"/>
        <v>0</v>
      </c>
      <c r="V141">
        <f t="shared" si="68"/>
        <v>0</v>
      </c>
      <c r="W141">
        <f t="shared" si="69"/>
        <v>0</v>
      </c>
      <c r="X141">
        <f t="shared" si="70"/>
        <v>0</v>
      </c>
      <c r="Y141">
        <f t="shared" si="71"/>
        <v>0</v>
      </c>
      <c r="Z141">
        <f t="shared" si="72"/>
        <v>0</v>
      </c>
    </row>
    <row r="142" spans="1:26" x14ac:dyDescent="0.25">
      <c r="A142" t="str">
        <f t="shared" si="50"/>
        <v>Data</v>
      </c>
      <c r="B142" t="str">
        <f t="shared" si="51"/>
        <v>Lotus 123</v>
      </c>
      <c r="C142" t="s">
        <v>324</v>
      </c>
      <c r="D142" s="1">
        <f t="shared" si="52"/>
        <v>0</v>
      </c>
      <c r="E142" s="1">
        <f t="shared" si="53"/>
        <v>0</v>
      </c>
      <c r="F142" s="1">
        <f t="shared" si="54"/>
        <v>0</v>
      </c>
      <c r="H142" s="1">
        <f t="shared" si="55"/>
        <v>0</v>
      </c>
      <c r="I142" s="1">
        <f t="shared" si="56"/>
        <v>0</v>
      </c>
      <c r="J142" s="1">
        <f t="shared" si="57"/>
        <v>0</v>
      </c>
      <c r="K142" s="1">
        <f t="shared" si="58"/>
        <v>0</v>
      </c>
      <c r="L142" s="1">
        <f t="shared" si="59"/>
        <v>0</v>
      </c>
      <c r="M142" s="1">
        <f t="shared" si="60"/>
        <v>0</v>
      </c>
      <c r="N142" s="1">
        <f t="shared" si="61"/>
        <v>0</v>
      </c>
      <c r="P142">
        <f t="shared" si="62"/>
        <v>0</v>
      </c>
      <c r="Q142" s="1">
        <f t="shared" si="63"/>
        <v>0</v>
      </c>
      <c r="R142">
        <f t="shared" si="64"/>
        <v>0</v>
      </c>
      <c r="S142">
        <f t="shared" si="65"/>
        <v>0</v>
      </c>
      <c r="T142">
        <f t="shared" si="66"/>
        <v>0</v>
      </c>
      <c r="U142">
        <f t="shared" si="67"/>
        <v>0</v>
      </c>
      <c r="V142">
        <f t="shared" si="68"/>
        <v>0</v>
      </c>
      <c r="W142">
        <f t="shared" si="69"/>
        <v>0</v>
      </c>
      <c r="X142">
        <f t="shared" si="70"/>
        <v>0</v>
      </c>
      <c r="Y142">
        <f t="shared" si="71"/>
        <v>0</v>
      </c>
      <c r="Z142">
        <f t="shared" si="72"/>
        <v>0</v>
      </c>
    </row>
    <row r="143" spans="1:26" x14ac:dyDescent="0.25">
      <c r="A143" t="str">
        <f t="shared" si="50"/>
        <v>Data</v>
      </c>
      <c r="B143" t="str">
        <f t="shared" si="51"/>
        <v>Extensible Markup Language</v>
      </c>
      <c r="C143" t="s">
        <v>156</v>
      </c>
      <c r="D143" s="1">
        <f t="shared" si="52"/>
        <v>0</v>
      </c>
      <c r="E143" s="1">
        <f t="shared" si="53"/>
        <v>0</v>
      </c>
      <c r="F143" s="1">
        <f t="shared" si="54"/>
        <v>0</v>
      </c>
      <c r="H143" s="1">
        <f t="shared" si="55"/>
        <v>0</v>
      </c>
      <c r="I143" s="1">
        <f t="shared" si="56"/>
        <v>0</v>
      </c>
      <c r="J143" s="1">
        <f t="shared" si="57"/>
        <v>0</v>
      </c>
      <c r="K143" s="1">
        <f t="shared" si="58"/>
        <v>0</v>
      </c>
      <c r="L143" s="1">
        <f t="shared" si="59"/>
        <v>0</v>
      </c>
      <c r="M143" s="1">
        <f t="shared" si="60"/>
        <v>0</v>
      </c>
      <c r="N143" s="1">
        <f t="shared" si="61"/>
        <v>0</v>
      </c>
      <c r="P143">
        <f t="shared" si="62"/>
        <v>0</v>
      </c>
      <c r="Q143" s="1">
        <f t="shared" si="63"/>
        <v>0</v>
      </c>
      <c r="R143">
        <f t="shared" si="64"/>
        <v>0</v>
      </c>
      <c r="S143">
        <f t="shared" si="65"/>
        <v>0</v>
      </c>
      <c r="T143">
        <f t="shared" si="66"/>
        <v>0</v>
      </c>
      <c r="U143">
        <f t="shared" si="67"/>
        <v>0</v>
      </c>
      <c r="V143">
        <f t="shared" si="68"/>
        <v>0</v>
      </c>
      <c r="W143">
        <f t="shared" si="69"/>
        <v>0</v>
      </c>
      <c r="X143">
        <f t="shared" si="70"/>
        <v>0</v>
      </c>
      <c r="Y143">
        <f t="shared" si="71"/>
        <v>0</v>
      </c>
      <c r="Z143">
        <f t="shared" si="72"/>
        <v>0</v>
      </c>
    </row>
    <row r="144" spans="1:26" x14ac:dyDescent="0.25">
      <c r="A144" t="str">
        <f t="shared" si="50"/>
        <v>Image</v>
      </c>
      <c r="B144" t="str">
        <f t="shared" si="51"/>
        <v>Windows Bitmap</v>
      </c>
      <c r="C144" t="s">
        <v>194</v>
      </c>
      <c r="D144" s="1">
        <f t="shared" si="52"/>
        <v>0</v>
      </c>
      <c r="E144" s="1">
        <f t="shared" si="53"/>
        <v>0</v>
      </c>
      <c r="F144" s="1">
        <f t="shared" si="54"/>
        <v>0</v>
      </c>
      <c r="H144" s="1">
        <f t="shared" si="55"/>
        <v>0</v>
      </c>
      <c r="I144" s="1">
        <f t="shared" si="56"/>
        <v>0</v>
      </c>
      <c r="J144" s="1">
        <f t="shared" si="57"/>
        <v>0</v>
      </c>
      <c r="K144" s="1">
        <f t="shared" si="58"/>
        <v>0</v>
      </c>
      <c r="L144" s="1">
        <f t="shared" si="59"/>
        <v>0</v>
      </c>
      <c r="M144" s="1">
        <f t="shared" si="60"/>
        <v>0</v>
      </c>
      <c r="N144" s="1">
        <f t="shared" si="61"/>
        <v>0</v>
      </c>
      <c r="P144">
        <f t="shared" si="62"/>
        <v>0</v>
      </c>
      <c r="Q144" s="1">
        <f t="shared" si="63"/>
        <v>0</v>
      </c>
      <c r="R144">
        <f t="shared" si="64"/>
        <v>0</v>
      </c>
      <c r="S144">
        <f t="shared" si="65"/>
        <v>0</v>
      </c>
      <c r="T144">
        <f t="shared" si="66"/>
        <v>0</v>
      </c>
      <c r="U144">
        <f t="shared" si="67"/>
        <v>0</v>
      </c>
      <c r="V144">
        <f t="shared" si="68"/>
        <v>0</v>
      </c>
      <c r="W144">
        <f t="shared" si="69"/>
        <v>0</v>
      </c>
      <c r="X144">
        <f t="shared" si="70"/>
        <v>0</v>
      </c>
      <c r="Y144">
        <f t="shared" si="71"/>
        <v>0</v>
      </c>
      <c r="Z144">
        <f t="shared" si="72"/>
        <v>0</v>
      </c>
    </row>
    <row r="145" spans="1:26" x14ac:dyDescent="0.25">
      <c r="A145" t="str">
        <f t="shared" si="50"/>
        <v>Image</v>
      </c>
      <c r="B145" t="str">
        <f t="shared" si="51"/>
        <v>Canon RAW Photo</v>
      </c>
      <c r="C145" t="s">
        <v>329</v>
      </c>
      <c r="D145" s="1">
        <f t="shared" si="52"/>
        <v>0</v>
      </c>
      <c r="E145" s="1">
        <f t="shared" si="53"/>
        <v>0</v>
      </c>
      <c r="F145" s="1">
        <f t="shared" si="54"/>
        <v>0</v>
      </c>
      <c r="H145" s="1">
        <f t="shared" si="55"/>
        <v>0</v>
      </c>
      <c r="I145" s="1">
        <f t="shared" si="56"/>
        <v>0</v>
      </c>
      <c r="J145" s="1">
        <f t="shared" si="57"/>
        <v>0</v>
      </c>
      <c r="K145" s="1">
        <f t="shared" si="58"/>
        <v>0</v>
      </c>
      <c r="L145" s="1">
        <f t="shared" si="59"/>
        <v>0</v>
      </c>
      <c r="M145" s="1">
        <f t="shared" si="60"/>
        <v>0</v>
      </c>
      <c r="N145" s="1">
        <f t="shared" si="61"/>
        <v>0</v>
      </c>
      <c r="P145">
        <f t="shared" si="62"/>
        <v>0</v>
      </c>
      <c r="Q145" s="1">
        <f t="shared" si="63"/>
        <v>0</v>
      </c>
      <c r="R145">
        <f t="shared" si="64"/>
        <v>0</v>
      </c>
      <c r="S145">
        <f t="shared" si="65"/>
        <v>0</v>
      </c>
      <c r="T145">
        <f t="shared" si="66"/>
        <v>0</v>
      </c>
      <c r="U145">
        <f t="shared" si="67"/>
        <v>0</v>
      </c>
      <c r="V145">
        <f t="shared" si="68"/>
        <v>0</v>
      </c>
      <c r="W145">
        <f t="shared" si="69"/>
        <v>0</v>
      </c>
      <c r="X145">
        <f t="shared" si="70"/>
        <v>0</v>
      </c>
      <c r="Y145">
        <f t="shared" si="71"/>
        <v>0</v>
      </c>
      <c r="Z145">
        <f t="shared" si="72"/>
        <v>0</v>
      </c>
    </row>
    <row r="146" spans="1:26" x14ac:dyDescent="0.25">
      <c r="A146" t="str">
        <f t="shared" si="50"/>
        <v>Image</v>
      </c>
      <c r="B146" t="str">
        <f t="shared" si="51"/>
        <v>Kodak Raw Image</v>
      </c>
      <c r="C146" t="s">
        <v>196</v>
      </c>
      <c r="D146" s="1">
        <f t="shared" si="52"/>
        <v>0</v>
      </c>
      <c r="E146" s="1">
        <f t="shared" si="53"/>
        <v>0</v>
      </c>
      <c r="F146" s="1">
        <f t="shared" si="54"/>
        <v>0</v>
      </c>
      <c r="H146" s="1">
        <f t="shared" si="55"/>
        <v>0</v>
      </c>
      <c r="I146" s="1">
        <f t="shared" si="56"/>
        <v>0</v>
      </c>
      <c r="J146" s="1">
        <f t="shared" si="57"/>
        <v>0</v>
      </c>
      <c r="K146" s="1">
        <f t="shared" si="58"/>
        <v>0</v>
      </c>
      <c r="L146" s="1">
        <f t="shared" si="59"/>
        <v>0</v>
      </c>
      <c r="M146" s="1">
        <f t="shared" si="60"/>
        <v>0</v>
      </c>
      <c r="N146" s="1">
        <f t="shared" si="61"/>
        <v>0</v>
      </c>
      <c r="P146">
        <f t="shared" si="62"/>
        <v>0</v>
      </c>
      <c r="Q146" s="1">
        <f t="shared" si="63"/>
        <v>0</v>
      </c>
      <c r="R146">
        <f t="shared" si="64"/>
        <v>0</v>
      </c>
      <c r="S146">
        <f t="shared" si="65"/>
        <v>0</v>
      </c>
      <c r="T146">
        <f t="shared" si="66"/>
        <v>0</v>
      </c>
      <c r="U146">
        <f t="shared" si="67"/>
        <v>0</v>
      </c>
      <c r="V146">
        <f t="shared" si="68"/>
        <v>0</v>
      </c>
      <c r="W146">
        <f t="shared" si="69"/>
        <v>0</v>
      </c>
      <c r="X146">
        <f t="shared" si="70"/>
        <v>0</v>
      </c>
      <c r="Y146">
        <f t="shared" si="71"/>
        <v>0</v>
      </c>
      <c r="Z146">
        <f t="shared" si="72"/>
        <v>0</v>
      </c>
    </row>
    <row r="147" spans="1:26" x14ac:dyDescent="0.25">
      <c r="A147" t="str">
        <f t="shared" si="50"/>
        <v>Image</v>
      </c>
      <c r="B147" t="str">
        <f t="shared" si="51"/>
        <v>Windows Compressed Metafile</v>
      </c>
      <c r="C147" t="s">
        <v>214</v>
      </c>
      <c r="D147" s="1">
        <f t="shared" si="52"/>
        <v>0</v>
      </c>
      <c r="E147" s="1">
        <f t="shared" si="53"/>
        <v>0</v>
      </c>
      <c r="F147" s="1">
        <f t="shared" si="54"/>
        <v>0</v>
      </c>
      <c r="H147" s="1">
        <f t="shared" si="55"/>
        <v>0</v>
      </c>
      <c r="I147" s="1">
        <f t="shared" si="56"/>
        <v>0</v>
      </c>
      <c r="J147" s="1">
        <f t="shared" si="57"/>
        <v>0</v>
      </c>
      <c r="K147" s="1">
        <f t="shared" si="58"/>
        <v>0</v>
      </c>
      <c r="L147" s="1">
        <f t="shared" si="59"/>
        <v>0</v>
      </c>
      <c r="M147" s="1">
        <f t="shared" si="60"/>
        <v>0</v>
      </c>
      <c r="N147" s="1">
        <f t="shared" si="61"/>
        <v>0</v>
      </c>
      <c r="P147">
        <f t="shared" si="62"/>
        <v>0</v>
      </c>
      <c r="Q147" s="1">
        <f t="shared" si="63"/>
        <v>0</v>
      </c>
      <c r="R147">
        <f t="shared" si="64"/>
        <v>0</v>
      </c>
      <c r="S147">
        <f t="shared" si="65"/>
        <v>0</v>
      </c>
      <c r="T147">
        <f t="shared" si="66"/>
        <v>0</v>
      </c>
      <c r="U147">
        <f t="shared" si="67"/>
        <v>0</v>
      </c>
      <c r="V147">
        <f t="shared" si="68"/>
        <v>0</v>
      </c>
      <c r="W147">
        <f t="shared" si="69"/>
        <v>0</v>
      </c>
      <c r="X147">
        <f t="shared" si="70"/>
        <v>0</v>
      </c>
      <c r="Y147">
        <f t="shared" si="71"/>
        <v>0</v>
      </c>
      <c r="Z147">
        <f t="shared" si="72"/>
        <v>0</v>
      </c>
    </row>
    <row r="148" spans="1:26" x14ac:dyDescent="0.25">
      <c r="A148" t="str">
        <f t="shared" si="50"/>
        <v>Image</v>
      </c>
      <c r="B148" t="str">
        <f t="shared" si="51"/>
        <v>Embedded OpenType Font</v>
      </c>
      <c r="C148" t="s">
        <v>138</v>
      </c>
      <c r="D148" s="1">
        <f t="shared" si="52"/>
        <v>0</v>
      </c>
      <c r="E148" s="1">
        <f t="shared" si="53"/>
        <v>0</v>
      </c>
      <c r="F148" s="1">
        <f t="shared" si="54"/>
        <v>0</v>
      </c>
      <c r="H148" s="1">
        <f t="shared" si="55"/>
        <v>0</v>
      </c>
      <c r="I148" s="1">
        <f t="shared" si="56"/>
        <v>0</v>
      </c>
      <c r="J148" s="1">
        <f t="shared" si="57"/>
        <v>0</v>
      </c>
      <c r="K148" s="1">
        <f t="shared" si="58"/>
        <v>0</v>
      </c>
      <c r="L148" s="1">
        <f t="shared" si="59"/>
        <v>0</v>
      </c>
      <c r="M148" s="1">
        <f t="shared" si="60"/>
        <v>0</v>
      </c>
      <c r="N148" s="1">
        <f t="shared" si="61"/>
        <v>0</v>
      </c>
      <c r="P148">
        <f t="shared" si="62"/>
        <v>0</v>
      </c>
      <c r="Q148" s="1">
        <f t="shared" si="63"/>
        <v>0</v>
      </c>
      <c r="R148">
        <f t="shared" si="64"/>
        <v>0</v>
      </c>
      <c r="S148">
        <f t="shared" si="65"/>
        <v>0</v>
      </c>
      <c r="T148">
        <f t="shared" si="66"/>
        <v>0</v>
      </c>
      <c r="U148">
        <f t="shared" si="67"/>
        <v>0</v>
      </c>
      <c r="V148">
        <f t="shared" si="68"/>
        <v>0</v>
      </c>
      <c r="W148">
        <f t="shared" si="69"/>
        <v>0</v>
      </c>
      <c r="X148">
        <f t="shared" si="70"/>
        <v>0</v>
      </c>
      <c r="Y148">
        <f t="shared" si="71"/>
        <v>0</v>
      </c>
      <c r="Z148">
        <f t="shared" si="72"/>
        <v>0</v>
      </c>
    </row>
    <row r="149" spans="1:26" x14ac:dyDescent="0.25">
      <c r="A149" t="str">
        <f t="shared" si="50"/>
        <v>Image</v>
      </c>
      <c r="B149" t="str">
        <f t="shared" si="51"/>
        <v>Graphic Interchange Format</v>
      </c>
      <c r="C149" t="s">
        <v>131</v>
      </c>
      <c r="D149" s="1">
        <f t="shared" si="52"/>
        <v>0</v>
      </c>
      <c r="E149" s="1">
        <f t="shared" si="53"/>
        <v>0</v>
      </c>
      <c r="F149" s="1">
        <f t="shared" si="54"/>
        <v>0</v>
      </c>
      <c r="H149" s="1">
        <f t="shared" si="55"/>
        <v>0</v>
      </c>
      <c r="I149" s="1">
        <f t="shared" si="56"/>
        <v>0</v>
      </c>
      <c r="J149" s="1">
        <f t="shared" si="57"/>
        <v>0</v>
      </c>
      <c r="K149" s="1">
        <f t="shared" si="58"/>
        <v>0</v>
      </c>
      <c r="L149" s="1">
        <f t="shared" si="59"/>
        <v>0</v>
      </c>
      <c r="M149" s="1">
        <f t="shared" si="60"/>
        <v>0</v>
      </c>
      <c r="N149" s="1">
        <f t="shared" si="61"/>
        <v>0</v>
      </c>
      <c r="P149">
        <f t="shared" si="62"/>
        <v>0</v>
      </c>
      <c r="Q149" s="1">
        <f t="shared" si="63"/>
        <v>0</v>
      </c>
      <c r="R149">
        <f t="shared" si="64"/>
        <v>0</v>
      </c>
      <c r="S149">
        <f t="shared" si="65"/>
        <v>0</v>
      </c>
      <c r="T149">
        <f t="shared" si="66"/>
        <v>0</v>
      </c>
      <c r="U149">
        <f t="shared" si="67"/>
        <v>0</v>
      </c>
      <c r="V149">
        <f t="shared" si="68"/>
        <v>0</v>
      </c>
      <c r="W149">
        <f t="shared" si="69"/>
        <v>0</v>
      </c>
      <c r="X149">
        <f t="shared" si="70"/>
        <v>0</v>
      </c>
      <c r="Y149">
        <f t="shared" si="71"/>
        <v>0</v>
      </c>
      <c r="Z149">
        <f t="shared" si="72"/>
        <v>0</v>
      </c>
    </row>
    <row r="150" spans="1:26" x14ac:dyDescent="0.25">
      <c r="A150" t="str">
        <f t="shared" si="50"/>
        <v>Image</v>
      </c>
      <c r="B150" t="str">
        <f t="shared" si="51"/>
        <v>Icon</v>
      </c>
      <c r="C150" t="s">
        <v>209</v>
      </c>
      <c r="D150" s="1">
        <f t="shared" si="52"/>
        <v>0</v>
      </c>
      <c r="E150" s="1">
        <f t="shared" si="53"/>
        <v>0</v>
      </c>
      <c r="F150" s="1">
        <f t="shared" si="54"/>
        <v>0</v>
      </c>
      <c r="H150" s="1">
        <f t="shared" si="55"/>
        <v>0</v>
      </c>
      <c r="I150" s="1">
        <f t="shared" si="56"/>
        <v>0</v>
      </c>
      <c r="J150" s="1">
        <f t="shared" si="57"/>
        <v>0</v>
      </c>
      <c r="K150" s="1">
        <f t="shared" si="58"/>
        <v>0</v>
      </c>
      <c r="L150" s="1">
        <f t="shared" si="59"/>
        <v>0</v>
      </c>
      <c r="M150" s="1">
        <f t="shared" si="60"/>
        <v>0</v>
      </c>
      <c r="N150" s="1">
        <f t="shared" si="61"/>
        <v>0</v>
      </c>
      <c r="P150">
        <f t="shared" si="62"/>
        <v>0</v>
      </c>
      <c r="Q150" s="1">
        <f t="shared" si="63"/>
        <v>0</v>
      </c>
      <c r="R150">
        <f t="shared" si="64"/>
        <v>0</v>
      </c>
      <c r="S150">
        <f t="shared" si="65"/>
        <v>0</v>
      </c>
      <c r="T150">
        <f t="shared" si="66"/>
        <v>0</v>
      </c>
      <c r="U150">
        <f t="shared" si="67"/>
        <v>0</v>
      </c>
      <c r="V150">
        <f t="shared" si="68"/>
        <v>0</v>
      </c>
      <c r="W150">
        <f t="shared" si="69"/>
        <v>0</v>
      </c>
      <c r="X150">
        <f t="shared" si="70"/>
        <v>0</v>
      </c>
      <c r="Y150">
        <f t="shared" si="71"/>
        <v>0</v>
      </c>
      <c r="Z150">
        <f t="shared" si="72"/>
        <v>0</v>
      </c>
    </row>
    <row r="151" spans="1:26" x14ac:dyDescent="0.25">
      <c r="A151" t="str">
        <f t="shared" si="50"/>
        <v>Image</v>
      </c>
      <c r="B151" t="str">
        <f t="shared" si="51"/>
        <v>Adobe InDesign</v>
      </c>
      <c r="C151" t="s">
        <v>326</v>
      </c>
      <c r="D151" s="1">
        <f t="shared" si="52"/>
        <v>0</v>
      </c>
      <c r="E151" s="1">
        <f t="shared" si="53"/>
        <v>0</v>
      </c>
      <c r="F151" s="1">
        <f t="shared" si="54"/>
        <v>0</v>
      </c>
      <c r="H151" s="1">
        <f t="shared" si="55"/>
        <v>0</v>
      </c>
      <c r="I151" s="1">
        <f t="shared" si="56"/>
        <v>0</v>
      </c>
      <c r="J151" s="1">
        <f t="shared" si="57"/>
        <v>0</v>
      </c>
      <c r="K151" s="1">
        <f t="shared" si="58"/>
        <v>0</v>
      </c>
      <c r="L151" s="1">
        <f t="shared" si="59"/>
        <v>0</v>
      </c>
      <c r="M151" s="1">
        <f t="shared" si="60"/>
        <v>0</v>
      </c>
      <c r="N151" s="1">
        <f t="shared" si="61"/>
        <v>0</v>
      </c>
      <c r="P151">
        <f t="shared" si="62"/>
        <v>0</v>
      </c>
      <c r="Q151" s="1">
        <f t="shared" si="63"/>
        <v>0</v>
      </c>
      <c r="R151">
        <f t="shared" si="64"/>
        <v>0</v>
      </c>
      <c r="S151">
        <f t="shared" si="65"/>
        <v>0</v>
      </c>
      <c r="T151">
        <f t="shared" si="66"/>
        <v>0</v>
      </c>
      <c r="U151">
        <f t="shared" si="67"/>
        <v>0</v>
      </c>
      <c r="V151">
        <f t="shared" si="68"/>
        <v>0</v>
      </c>
      <c r="W151">
        <f t="shared" si="69"/>
        <v>0</v>
      </c>
      <c r="X151">
        <f t="shared" si="70"/>
        <v>0</v>
      </c>
      <c r="Y151">
        <f t="shared" si="71"/>
        <v>0</v>
      </c>
      <c r="Z151">
        <f t="shared" si="72"/>
        <v>0</v>
      </c>
    </row>
    <row r="152" spans="1:26" x14ac:dyDescent="0.25">
      <c r="A152" t="str">
        <f t="shared" si="50"/>
        <v>Image</v>
      </c>
      <c r="B152" t="str">
        <f t="shared" si="51"/>
        <v>JPEG Image</v>
      </c>
      <c r="C152" t="s">
        <v>184</v>
      </c>
      <c r="D152" s="1">
        <f t="shared" si="52"/>
        <v>0</v>
      </c>
      <c r="E152" s="1">
        <f t="shared" si="53"/>
        <v>0</v>
      </c>
      <c r="F152" s="1">
        <f t="shared" si="54"/>
        <v>0</v>
      </c>
      <c r="H152" s="1">
        <f t="shared" si="55"/>
        <v>0</v>
      </c>
      <c r="I152" s="1">
        <f t="shared" si="56"/>
        <v>0</v>
      </c>
      <c r="J152" s="1">
        <f t="shared" si="57"/>
        <v>0</v>
      </c>
      <c r="K152" s="1">
        <f t="shared" si="58"/>
        <v>0</v>
      </c>
      <c r="L152" s="1">
        <f t="shared" si="59"/>
        <v>0</v>
      </c>
      <c r="M152" s="1">
        <f t="shared" si="60"/>
        <v>0</v>
      </c>
      <c r="N152" s="1">
        <f t="shared" si="61"/>
        <v>0</v>
      </c>
      <c r="P152">
        <f t="shared" si="62"/>
        <v>0</v>
      </c>
      <c r="Q152" s="1">
        <f t="shared" si="63"/>
        <v>0</v>
      </c>
      <c r="R152">
        <f t="shared" si="64"/>
        <v>0</v>
      </c>
      <c r="S152">
        <f t="shared" si="65"/>
        <v>0</v>
      </c>
      <c r="T152">
        <f t="shared" si="66"/>
        <v>0</v>
      </c>
      <c r="U152">
        <f t="shared" si="67"/>
        <v>0</v>
      </c>
      <c r="V152">
        <f t="shared" si="68"/>
        <v>0</v>
      </c>
      <c r="W152">
        <f t="shared" si="69"/>
        <v>0</v>
      </c>
      <c r="X152">
        <f t="shared" si="70"/>
        <v>0</v>
      </c>
      <c r="Y152">
        <f t="shared" si="71"/>
        <v>0</v>
      </c>
      <c r="Z152">
        <f t="shared" si="72"/>
        <v>0</v>
      </c>
    </row>
    <row r="153" spans="1:26" x14ac:dyDescent="0.25">
      <c r="A153" t="str">
        <f t="shared" si="50"/>
        <v>Image</v>
      </c>
      <c r="B153" t="str">
        <f t="shared" si="51"/>
        <v>JPEG Image</v>
      </c>
      <c r="C153" t="s">
        <v>134</v>
      </c>
      <c r="D153" s="1">
        <f t="shared" si="52"/>
        <v>0</v>
      </c>
      <c r="E153" s="1">
        <f t="shared" si="53"/>
        <v>0</v>
      </c>
      <c r="F153" s="1">
        <f t="shared" si="54"/>
        <v>0</v>
      </c>
      <c r="H153" s="1">
        <f t="shared" si="55"/>
        <v>0</v>
      </c>
      <c r="I153" s="1">
        <f t="shared" si="56"/>
        <v>0</v>
      </c>
      <c r="J153" s="1">
        <f t="shared" si="57"/>
        <v>0</v>
      </c>
      <c r="K153" s="1">
        <f t="shared" si="58"/>
        <v>0</v>
      </c>
      <c r="L153" s="1">
        <f t="shared" si="59"/>
        <v>0</v>
      </c>
      <c r="M153" s="1">
        <f t="shared" si="60"/>
        <v>0</v>
      </c>
      <c r="N153" s="1">
        <f t="shared" si="61"/>
        <v>0</v>
      </c>
      <c r="P153">
        <f t="shared" si="62"/>
        <v>0</v>
      </c>
      <c r="Q153" s="1">
        <f t="shared" si="63"/>
        <v>0</v>
      </c>
      <c r="R153">
        <f t="shared" si="64"/>
        <v>0</v>
      </c>
      <c r="S153">
        <f t="shared" si="65"/>
        <v>0</v>
      </c>
      <c r="T153">
        <f t="shared" si="66"/>
        <v>0</v>
      </c>
      <c r="U153">
        <f t="shared" si="67"/>
        <v>0</v>
      </c>
      <c r="V153">
        <f t="shared" si="68"/>
        <v>0</v>
      </c>
      <c r="W153">
        <f t="shared" si="69"/>
        <v>0</v>
      </c>
      <c r="X153">
        <f t="shared" si="70"/>
        <v>0</v>
      </c>
      <c r="Y153">
        <f t="shared" si="71"/>
        <v>0</v>
      </c>
      <c r="Z153">
        <f t="shared" si="72"/>
        <v>0</v>
      </c>
    </row>
    <row r="154" spans="1:26" x14ac:dyDescent="0.25">
      <c r="A154" t="str">
        <f t="shared" si="50"/>
        <v>Image</v>
      </c>
      <c r="B154" t="str">
        <f t="shared" si="51"/>
        <v>Microsoft Image Composer</v>
      </c>
      <c r="C154" t="s">
        <v>206</v>
      </c>
      <c r="D154" s="1">
        <f t="shared" si="52"/>
        <v>0</v>
      </c>
      <c r="E154" s="1">
        <f t="shared" si="53"/>
        <v>0</v>
      </c>
      <c r="F154" s="1">
        <f t="shared" si="54"/>
        <v>0</v>
      </c>
      <c r="H154" s="1">
        <f t="shared" si="55"/>
        <v>0</v>
      </c>
      <c r="I154" s="1">
        <f t="shared" si="56"/>
        <v>0</v>
      </c>
      <c r="J154" s="1">
        <f t="shared" si="57"/>
        <v>0</v>
      </c>
      <c r="K154" s="1">
        <f t="shared" si="58"/>
        <v>0</v>
      </c>
      <c r="L154" s="1">
        <f t="shared" si="59"/>
        <v>0</v>
      </c>
      <c r="M154" s="1">
        <f t="shared" si="60"/>
        <v>0</v>
      </c>
      <c r="N154" s="1">
        <f t="shared" si="61"/>
        <v>0</v>
      </c>
      <c r="P154">
        <f t="shared" si="62"/>
        <v>0</v>
      </c>
      <c r="Q154" s="1">
        <f t="shared" si="63"/>
        <v>0</v>
      </c>
      <c r="R154">
        <f t="shared" si="64"/>
        <v>0</v>
      </c>
      <c r="S154">
        <f t="shared" si="65"/>
        <v>0</v>
      </c>
      <c r="T154">
        <f t="shared" si="66"/>
        <v>0</v>
      </c>
      <c r="U154">
        <f t="shared" si="67"/>
        <v>0</v>
      </c>
      <c r="V154">
        <f t="shared" si="68"/>
        <v>0</v>
      </c>
      <c r="W154">
        <f t="shared" si="69"/>
        <v>0</v>
      </c>
      <c r="X154">
        <f t="shared" si="70"/>
        <v>0</v>
      </c>
      <c r="Y154">
        <f t="shared" si="71"/>
        <v>0</v>
      </c>
      <c r="Z154">
        <f t="shared" si="72"/>
        <v>0</v>
      </c>
    </row>
    <row r="155" spans="1:26" x14ac:dyDescent="0.25">
      <c r="A155" t="str">
        <f t="shared" si="50"/>
        <v>Image</v>
      </c>
      <c r="B155" t="str">
        <f t="shared" si="51"/>
        <v>OpenType Font</v>
      </c>
      <c r="C155" t="s">
        <v>327</v>
      </c>
      <c r="D155" s="1">
        <f t="shared" si="52"/>
        <v>0</v>
      </c>
      <c r="E155" s="1">
        <f t="shared" si="53"/>
        <v>0</v>
      </c>
      <c r="F155" s="1">
        <f t="shared" si="54"/>
        <v>0</v>
      </c>
      <c r="H155" s="1">
        <f t="shared" si="55"/>
        <v>0</v>
      </c>
      <c r="I155" s="1">
        <f t="shared" si="56"/>
        <v>0</v>
      </c>
      <c r="J155" s="1">
        <f t="shared" si="57"/>
        <v>0</v>
      </c>
      <c r="K155" s="1">
        <f t="shared" si="58"/>
        <v>0</v>
      </c>
      <c r="L155" s="1">
        <f t="shared" si="59"/>
        <v>0</v>
      </c>
      <c r="M155" s="1">
        <f t="shared" si="60"/>
        <v>0</v>
      </c>
      <c r="N155" s="1">
        <f t="shared" si="61"/>
        <v>0</v>
      </c>
      <c r="P155">
        <f t="shared" si="62"/>
        <v>0</v>
      </c>
      <c r="Q155" s="1">
        <f t="shared" si="63"/>
        <v>0</v>
      </c>
      <c r="R155">
        <f t="shared" si="64"/>
        <v>0</v>
      </c>
      <c r="S155">
        <f t="shared" si="65"/>
        <v>0</v>
      </c>
      <c r="T155">
        <f t="shared" si="66"/>
        <v>0</v>
      </c>
      <c r="U155">
        <f t="shared" si="67"/>
        <v>0</v>
      </c>
      <c r="V155">
        <f t="shared" si="68"/>
        <v>0</v>
      </c>
      <c r="W155">
        <f t="shared" si="69"/>
        <v>0</v>
      </c>
      <c r="X155">
        <f t="shared" si="70"/>
        <v>0</v>
      </c>
      <c r="Y155">
        <f t="shared" si="71"/>
        <v>0</v>
      </c>
      <c r="Z155">
        <f t="shared" si="72"/>
        <v>0</v>
      </c>
    </row>
    <row r="156" spans="1:26" x14ac:dyDescent="0.25">
      <c r="A156" t="str">
        <f t="shared" si="50"/>
        <v>Image</v>
      </c>
      <c r="B156" t="str">
        <f t="shared" si="51"/>
        <v>Compressed Macintosh Image</v>
      </c>
      <c r="C156" t="s">
        <v>240</v>
      </c>
      <c r="D156" s="1">
        <f t="shared" si="52"/>
        <v>0</v>
      </c>
      <c r="E156" s="1">
        <f t="shared" si="53"/>
        <v>0</v>
      </c>
      <c r="F156" s="1">
        <f t="shared" si="54"/>
        <v>0</v>
      </c>
      <c r="H156" s="1">
        <f t="shared" si="55"/>
        <v>0</v>
      </c>
      <c r="I156" s="1">
        <f t="shared" si="56"/>
        <v>0</v>
      </c>
      <c r="J156" s="1">
        <f t="shared" si="57"/>
        <v>0</v>
      </c>
      <c r="K156" s="1">
        <f t="shared" si="58"/>
        <v>0</v>
      </c>
      <c r="L156" s="1">
        <f t="shared" si="59"/>
        <v>0</v>
      </c>
      <c r="M156" s="1">
        <f t="shared" si="60"/>
        <v>0</v>
      </c>
      <c r="N156" s="1">
        <f t="shared" si="61"/>
        <v>0</v>
      </c>
      <c r="P156">
        <f t="shared" si="62"/>
        <v>0</v>
      </c>
      <c r="Q156" s="1">
        <f t="shared" si="63"/>
        <v>0</v>
      </c>
      <c r="R156">
        <f t="shared" si="64"/>
        <v>0</v>
      </c>
      <c r="S156">
        <f t="shared" si="65"/>
        <v>0</v>
      </c>
      <c r="T156">
        <f t="shared" si="66"/>
        <v>0</v>
      </c>
      <c r="U156">
        <f t="shared" si="67"/>
        <v>0</v>
      </c>
      <c r="V156">
        <f t="shared" si="68"/>
        <v>0</v>
      </c>
      <c r="W156">
        <f t="shared" si="69"/>
        <v>0</v>
      </c>
      <c r="X156">
        <f t="shared" si="70"/>
        <v>0</v>
      </c>
      <c r="Y156">
        <f t="shared" si="71"/>
        <v>0</v>
      </c>
      <c r="Z156">
        <f t="shared" si="72"/>
        <v>0</v>
      </c>
    </row>
    <row r="157" spans="1:26" x14ac:dyDescent="0.25">
      <c r="A157" t="str">
        <f t="shared" si="50"/>
        <v>Image</v>
      </c>
      <c r="B157" t="str">
        <f t="shared" si="51"/>
        <v xml:space="preserve">Adobe PhotoDeluxe </v>
      </c>
      <c r="C157" t="s">
        <v>202</v>
      </c>
      <c r="D157" s="1">
        <f t="shared" si="52"/>
        <v>0</v>
      </c>
      <c r="E157" s="1">
        <f t="shared" si="53"/>
        <v>0</v>
      </c>
      <c r="F157" s="1">
        <f t="shared" si="54"/>
        <v>0</v>
      </c>
      <c r="H157" s="1">
        <f t="shared" si="55"/>
        <v>0</v>
      </c>
      <c r="I157" s="1">
        <f t="shared" si="56"/>
        <v>0</v>
      </c>
      <c r="J157" s="1">
        <f t="shared" si="57"/>
        <v>0</v>
      </c>
      <c r="K157" s="1">
        <f t="shared" si="58"/>
        <v>0</v>
      </c>
      <c r="L157" s="1">
        <f t="shared" si="59"/>
        <v>0</v>
      </c>
      <c r="M157" s="1">
        <f t="shared" si="60"/>
        <v>0</v>
      </c>
      <c r="N157" s="1">
        <f t="shared" si="61"/>
        <v>0</v>
      </c>
      <c r="P157">
        <f t="shared" si="62"/>
        <v>0</v>
      </c>
      <c r="Q157" s="1">
        <f t="shared" si="63"/>
        <v>0</v>
      </c>
      <c r="R157">
        <f t="shared" si="64"/>
        <v>0</v>
      </c>
      <c r="S157">
        <f t="shared" si="65"/>
        <v>0</v>
      </c>
      <c r="T157">
        <f t="shared" si="66"/>
        <v>0</v>
      </c>
      <c r="U157">
        <f t="shared" si="67"/>
        <v>0</v>
      </c>
      <c r="V157">
        <f t="shared" si="68"/>
        <v>0</v>
      </c>
      <c r="W157">
        <f t="shared" si="69"/>
        <v>0</v>
      </c>
      <c r="X157">
        <f t="shared" si="70"/>
        <v>0</v>
      </c>
      <c r="Y157">
        <f t="shared" si="71"/>
        <v>0</v>
      </c>
      <c r="Z157">
        <f t="shared" si="72"/>
        <v>0</v>
      </c>
    </row>
    <row r="158" spans="1:26" x14ac:dyDescent="0.25">
      <c r="A158" t="str">
        <f t="shared" si="50"/>
        <v>Image</v>
      </c>
      <c r="B158" t="str">
        <f t="shared" si="51"/>
        <v>Portable Network Graphic</v>
      </c>
      <c r="C158" t="s">
        <v>132</v>
      </c>
      <c r="D158" s="1">
        <f t="shared" si="52"/>
        <v>0</v>
      </c>
      <c r="E158" s="1">
        <f t="shared" si="53"/>
        <v>0</v>
      </c>
      <c r="F158" s="1">
        <f t="shared" si="54"/>
        <v>0</v>
      </c>
      <c r="H158" s="1">
        <f t="shared" si="55"/>
        <v>0</v>
      </c>
      <c r="I158" s="1">
        <f t="shared" si="56"/>
        <v>0</v>
      </c>
      <c r="J158" s="1">
        <f t="shared" si="57"/>
        <v>0</v>
      </c>
      <c r="K158" s="1">
        <f t="shared" si="58"/>
        <v>0</v>
      </c>
      <c r="L158" s="1">
        <f t="shared" si="59"/>
        <v>0</v>
      </c>
      <c r="M158" s="1">
        <f t="shared" si="60"/>
        <v>0</v>
      </c>
      <c r="N158" s="1">
        <f t="shared" si="61"/>
        <v>0</v>
      </c>
      <c r="P158">
        <f t="shared" si="62"/>
        <v>0</v>
      </c>
      <c r="Q158" s="1">
        <f t="shared" si="63"/>
        <v>0</v>
      </c>
      <c r="R158">
        <f t="shared" si="64"/>
        <v>0</v>
      </c>
      <c r="S158">
        <f t="shared" si="65"/>
        <v>0</v>
      </c>
      <c r="T158">
        <f t="shared" si="66"/>
        <v>0</v>
      </c>
      <c r="U158">
        <f t="shared" si="67"/>
        <v>0</v>
      </c>
      <c r="V158">
        <f t="shared" si="68"/>
        <v>0</v>
      </c>
      <c r="W158">
        <f t="shared" si="69"/>
        <v>0</v>
      </c>
      <c r="X158">
        <f t="shared" si="70"/>
        <v>0</v>
      </c>
      <c r="Y158">
        <f t="shared" si="71"/>
        <v>0</v>
      </c>
      <c r="Z158">
        <f t="shared" si="72"/>
        <v>0</v>
      </c>
    </row>
    <row r="159" spans="1:26" x14ac:dyDescent="0.25">
      <c r="A159" t="str">
        <f t="shared" si="50"/>
        <v>Image</v>
      </c>
      <c r="B159" t="str">
        <f t="shared" si="51"/>
        <v>Photoshop File</v>
      </c>
      <c r="C159" t="s">
        <v>211</v>
      </c>
      <c r="D159" s="1">
        <f t="shared" si="52"/>
        <v>0</v>
      </c>
      <c r="E159" s="1">
        <f t="shared" si="53"/>
        <v>0</v>
      </c>
      <c r="F159" s="1">
        <f t="shared" si="54"/>
        <v>0</v>
      </c>
      <c r="H159" s="1">
        <f t="shared" si="55"/>
        <v>0</v>
      </c>
      <c r="I159" s="1">
        <f t="shared" si="56"/>
        <v>0</v>
      </c>
      <c r="J159" s="1">
        <f t="shared" si="57"/>
        <v>0</v>
      </c>
      <c r="K159" s="1">
        <f t="shared" si="58"/>
        <v>0</v>
      </c>
      <c r="L159" s="1">
        <f t="shared" si="59"/>
        <v>0</v>
      </c>
      <c r="M159" s="1">
        <f t="shared" si="60"/>
        <v>0</v>
      </c>
      <c r="N159" s="1">
        <f t="shared" si="61"/>
        <v>0</v>
      </c>
      <c r="P159">
        <f t="shared" si="62"/>
        <v>0</v>
      </c>
      <c r="Q159" s="1">
        <f t="shared" si="63"/>
        <v>0</v>
      </c>
      <c r="R159">
        <f t="shared" si="64"/>
        <v>0</v>
      </c>
      <c r="S159">
        <f t="shared" si="65"/>
        <v>0</v>
      </c>
      <c r="T159">
        <f t="shared" si="66"/>
        <v>0</v>
      </c>
      <c r="U159">
        <f t="shared" si="67"/>
        <v>0</v>
      </c>
      <c r="V159">
        <f t="shared" si="68"/>
        <v>0</v>
      </c>
      <c r="W159">
        <f t="shared" si="69"/>
        <v>0</v>
      </c>
      <c r="X159">
        <f t="shared" si="70"/>
        <v>0</v>
      </c>
      <c r="Y159">
        <f t="shared" si="71"/>
        <v>0</v>
      </c>
      <c r="Z159">
        <f t="shared" si="72"/>
        <v>0</v>
      </c>
    </row>
    <row r="160" spans="1:26" x14ac:dyDescent="0.25">
      <c r="A160" t="str">
        <f t="shared" si="50"/>
        <v>Image</v>
      </c>
      <c r="B160" t="str">
        <f t="shared" si="51"/>
        <v>RAW Image</v>
      </c>
      <c r="C160" t="s">
        <v>328</v>
      </c>
      <c r="D160" s="1">
        <f t="shared" si="52"/>
        <v>0</v>
      </c>
      <c r="E160" s="1">
        <f t="shared" si="53"/>
        <v>0</v>
      </c>
      <c r="F160" s="1">
        <f t="shared" si="54"/>
        <v>0</v>
      </c>
      <c r="H160" s="1">
        <f t="shared" si="55"/>
        <v>0</v>
      </c>
      <c r="I160" s="1">
        <f t="shared" si="56"/>
        <v>0</v>
      </c>
      <c r="J160" s="1">
        <f t="shared" si="57"/>
        <v>0</v>
      </c>
      <c r="K160" s="1">
        <f t="shared" si="58"/>
        <v>0</v>
      </c>
      <c r="L160" s="1">
        <f t="shared" si="59"/>
        <v>0</v>
      </c>
      <c r="M160" s="1">
        <f t="shared" si="60"/>
        <v>0</v>
      </c>
      <c r="N160" s="1">
        <f t="shared" si="61"/>
        <v>0</v>
      </c>
      <c r="P160">
        <f t="shared" si="62"/>
        <v>0</v>
      </c>
      <c r="Q160" s="1">
        <f t="shared" si="63"/>
        <v>0</v>
      </c>
      <c r="R160">
        <f t="shared" si="64"/>
        <v>0</v>
      </c>
      <c r="S160">
        <f t="shared" si="65"/>
        <v>0</v>
      </c>
      <c r="T160">
        <f t="shared" si="66"/>
        <v>0</v>
      </c>
      <c r="U160">
        <f t="shared" si="67"/>
        <v>0</v>
      </c>
      <c r="V160">
        <f t="shared" si="68"/>
        <v>0</v>
      </c>
      <c r="W160">
        <f t="shared" si="69"/>
        <v>0</v>
      </c>
      <c r="X160">
        <f t="shared" si="70"/>
        <v>0</v>
      </c>
      <c r="Y160">
        <f t="shared" si="71"/>
        <v>0</v>
      </c>
      <c r="Z160">
        <f t="shared" si="72"/>
        <v>0</v>
      </c>
    </row>
    <row r="161" spans="1:26" x14ac:dyDescent="0.25">
      <c r="A161" t="str">
        <f t="shared" si="50"/>
        <v>Image</v>
      </c>
      <c r="B161" t="str">
        <f t="shared" si="51"/>
        <v>Scalable Vector Graphics</v>
      </c>
      <c r="C161" t="s">
        <v>139</v>
      </c>
      <c r="D161" s="1">
        <f t="shared" si="52"/>
        <v>0</v>
      </c>
      <c r="E161" s="1">
        <f t="shared" si="53"/>
        <v>0</v>
      </c>
      <c r="F161" s="1">
        <f t="shared" si="54"/>
        <v>0</v>
      </c>
      <c r="H161" s="1">
        <f t="shared" si="55"/>
        <v>0</v>
      </c>
      <c r="I161" s="1">
        <f t="shared" si="56"/>
        <v>0</v>
      </c>
      <c r="J161" s="1">
        <f t="shared" si="57"/>
        <v>0</v>
      </c>
      <c r="K161" s="1">
        <f t="shared" si="58"/>
        <v>0</v>
      </c>
      <c r="L161" s="1">
        <f t="shared" si="59"/>
        <v>0</v>
      </c>
      <c r="M161" s="1">
        <f t="shared" si="60"/>
        <v>0</v>
      </c>
      <c r="N161" s="1">
        <f t="shared" si="61"/>
        <v>0</v>
      </c>
      <c r="P161">
        <f t="shared" si="62"/>
        <v>0</v>
      </c>
      <c r="Q161" s="1">
        <f t="shared" si="63"/>
        <v>0</v>
      </c>
      <c r="R161">
        <f t="shared" si="64"/>
        <v>0</v>
      </c>
      <c r="S161">
        <f t="shared" si="65"/>
        <v>0</v>
      </c>
      <c r="T161">
        <f t="shared" si="66"/>
        <v>0</v>
      </c>
      <c r="U161">
        <f t="shared" si="67"/>
        <v>0</v>
      </c>
      <c r="V161">
        <f t="shared" si="68"/>
        <v>0</v>
      </c>
      <c r="W161">
        <f t="shared" si="69"/>
        <v>0</v>
      </c>
      <c r="X161">
        <f t="shared" si="70"/>
        <v>0</v>
      </c>
      <c r="Y161">
        <f t="shared" si="71"/>
        <v>0</v>
      </c>
      <c r="Z161">
        <f t="shared" si="72"/>
        <v>0</v>
      </c>
    </row>
    <row r="162" spans="1:26" x14ac:dyDescent="0.25">
      <c r="A162" t="str">
        <f t="shared" si="50"/>
        <v>Image</v>
      </c>
      <c r="B162" t="str">
        <f t="shared" si="51"/>
        <v>TIFF Image</v>
      </c>
      <c r="C162" t="s">
        <v>201</v>
      </c>
      <c r="D162" s="1">
        <f t="shared" si="52"/>
        <v>0</v>
      </c>
      <c r="E162" s="1">
        <f t="shared" si="53"/>
        <v>0</v>
      </c>
      <c r="F162" s="1">
        <f t="shared" si="54"/>
        <v>0</v>
      </c>
      <c r="H162" s="1">
        <f t="shared" si="55"/>
        <v>0</v>
      </c>
      <c r="I162" s="1">
        <f t="shared" si="56"/>
        <v>0</v>
      </c>
      <c r="J162" s="1">
        <f t="shared" si="57"/>
        <v>0</v>
      </c>
      <c r="K162" s="1">
        <f t="shared" si="58"/>
        <v>0</v>
      </c>
      <c r="L162" s="1">
        <f t="shared" si="59"/>
        <v>0</v>
      </c>
      <c r="M162" s="1">
        <f t="shared" si="60"/>
        <v>0</v>
      </c>
      <c r="N162" s="1">
        <f t="shared" si="61"/>
        <v>0</v>
      </c>
      <c r="P162">
        <f t="shared" si="62"/>
        <v>0</v>
      </c>
      <c r="Q162" s="1">
        <f t="shared" si="63"/>
        <v>0</v>
      </c>
      <c r="R162">
        <f t="shared" si="64"/>
        <v>0</v>
      </c>
      <c r="S162">
        <f t="shared" si="65"/>
        <v>0</v>
      </c>
      <c r="T162">
        <f t="shared" si="66"/>
        <v>0</v>
      </c>
      <c r="U162">
        <f t="shared" si="67"/>
        <v>0</v>
      </c>
      <c r="V162">
        <f t="shared" si="68"/>
        <v>0</v>
      </c>
      <c r="W162">
        <f t="shared" si="69"/>
        <v>0</v>
      </c>
      <c r="X162">
        <f t="shared" si="70"/>
        <v>0</v>
      </c>
      <c r="Y162">
        <f t="shared" si="71"/>
        <v>0</v>
      </c>
      <c r="Z162">
        <f t="shared" si="72"/>
        <v>0</v>
      </c>
    </row>
    <row r="163" spans="1:26" x14ac:dyDescent="0.25">
      <c r="A163" t="str">
        <f t="shared" si="50"/>
        <v>Image</v>
      </c>
      <c r="B163" t="str">
        <f t="shared" si="51"/>
        <v>TIFF Image</v>
      </c>
      <c r="C163" t="s">
        <v>338</v>
      </c>
      <c r="D163" s="1">
        <f t="shared" si="52"/>
        <v>0</v>
      </c>
      <c r="E163" s="1">
        <f t="shared" si="53"/>
        <v>0</v>
      </c>
      <c r="F163" s="1">
        <f t="shared" si="54"/>
        <v>0</v>
      </c>
      <c r="H163" s="1">
        <f t="shared" si="55"/>
        <v>0</v>
      </c>
      <c r="I163" s="1">
        <f t="shared" si="56"/>
        <v>0</v>
      </c>
      <c r="J163" s="1">
        <f t="shared" si="57"/>
        <v>0</v>
      </c>
      <c r="K163" s="1">
        <f t="shared" si="58"/>
        <v>0</v>
      </c>
      <c r="L163" s="1">
        <f t="shared" si="59"/>
        <v>0</v>
      </c>
      <c r="M163" s="1">
        <f t="shared" si="60"/>
        <v>0</v>
      </c>
      <c r="N163" s="1">
        <f t="shared" si="61"/>
        <v>0</v>
      </c>
      <c r="P163">
        <f t="shared" si="62"/>
        <v>0</v>
      </c>
      <c r="Q163" s="1">
        <f t="shared" si="63"/>
        <v>0</v>
      </c>
      <c r="R163">
        <f t="shared" si="64"/>
        <v>0</v>
      </c>
      <c r="S163">
        <f t="shared" si="65"/>
        <v>0</v>
      </c>
      <c r="T163">
        <f t="shared" si="66"/>
        <v>0</v>
      </c>
      <c r="U163">
        <f t="shared" si="67"/>
        <v>0</v>
      </c>
      <c r="V163">
        <f t="shared" si="68"/>
        <v>0</v>
      </c>
      <c r="W163">
        <f t="shared" si="69"/>
        <v>0</v>
      </c>
      <c r="X163">
        <f t="shared" si="70"/>
        <v>0</v>
      </c>
      <c r="Y163">
        <f t="shared" si="71"/>
        <v>0</v>
      </c>
      <c r="Z163">
        <f t="shared" si="72"/>
        <v>0</v>
      </c>
    </row>
    <row r="164" spans="1:26" x14ac:dyDescent="0.25">
      <c r="A164" t="str">
        <f t="shared" si="50"/>
        <v>Image</v>
      </c>
      <c r="B164" t="str">
        <f t="shared" si="51"/>
        <v>TrueType Font File</v>
      </c>
      <c r="C164" t="s">
        <v>140</v>
      </c>
      <c r="D164" s="1">
        <f t="shared" si="52"/>
        <v>0</v>
      </c>
      <c r="E164" s="1">
        <f t="shared" si="53"/>
        <v>0</v>
      </c>
      <c r="F164" s="1">
        <f t="shared" si="54"/>
        <v>0</v>
      </c>
      <c r="H164" s="1">
        <f t="shared" si="55"/>
        <v>0</v>
      </c>
      <c r="I164" s="1">
        <f t="shared" si="56"/>
        <v>0</v>
      </c>
      <c r="J164" s="1">
        <f t="shared" si="57"/>
        <v>0</v>
      </c>
      <c r="K164" s="1">
        <f t="shared" si="58"/>
        <v>0</v>
      </c>
      <c r="L164" s="1">
        <f t="shared" si="59"/>
        <v>0</v>
      </c>
      <c r="M164" s="1">
        <f t="shared" si="60"/>
        <v>0</v>
      </c>
      <c r="N164" s="1">
        <f t="shared" si="61"/>
        <v>0</v>
      </c>
      <c r="P164">
        <f t="shared" si="62"/>
        <v>0</v>
      </c>
      <c r="Q164" s="1">
        <f t="shared" si="63"/>
        <v>0</v>
      </c>
      <c r="R164">
        <f t="shared" si="64"/>
        <v>0</v>
      </c>
      <c r="S164">
        <f t="shared" si="65"/>
        <v>0</v>
      </c>
      <c r="T164">
        <f t="shared" si="66"/>
        <v>0</v>
      </c>
      <c r="U164">
        <f t="shared" si="67"/>
        <v>0</v>
      </c>
      <c r="V164">
        <f t="shared" si="68"/>
        <v>0</v>
      </c>
      <c r="W164">
        <f t="shared" si="69"/>
        <v>0</v>
      </c>
      <c r="X164">
        <f t="shared" si="70"/>
        <v>0</v>
      </c>
      <c r="Y164">
        <f t="shared" si="71"/>
        <v>0</v>
      </c>
      <c r="Z164">
        <f t="shared" si="72"/>
        <v>0</v>
      </c>
    </row>
    <row r="165" spans="1:26" x14ac:dyDescent="0.25">
      <c r="A165" t="str">
        <f t="shared" si="50"/>
        <v>Image</v>
      </c>
      <c r="B165" t="str">
        <f t="shared" si="51"/>
        <v>Windows Metafile Image</v>
      </c>
      <c r="C165" t="s">
        <v>207</v>
      </c>
      <c r="D165" s="1">
        <f t="shared" si="52"/>
        <v>0</v>
      </c>
      <c r="E165" s="1">
        <f t="shared" si="53"/>
        <v>0</v>
      </c>
      <c r="F165" s="1">
        <f t="shared" si="54"/>
        <v>0</v>
      </c>
      <c r="H165" s="1">
        <f t="shared" si="55"/>
        <v>0</v>
      </c>
      <c r="I165" s="1">
        <f t="shared" si="56"/>
        <v>0</v>
      </c>
      <c r="J165" s="1">
        <f t="shared" si="57"/>
        <v>0</v>
      </c>
      <c r="K165" s="1">
        <f t="shared" si="58"/>
        <v>0</v>
      </c>
      <c r="L165" s="1">
        <f t="shared" si="59"/>
        <v>0</v>
      </c>
      <c r="M165" s="1">
        <f t="shared" si="60"/>
        <v>0</v>
      </c>
      <c r="N165" s="1">
        <f t="shared" si="61"/>
        <v>0</v>
      </c>
      <c r="P165">
        <f t="shared" si="62"/>
        <v>0</v>
      </c>
      <c r="Q165" s="1">
        <f t="shared" si="63"/>
        <v>0</v>
      </c>
      <c r="R165">
        <f t="shared" si="64"/>
        <v>0</v>
      </c>
      <c r="S165">
        <f t="shared" si="65"/>
        <v>0</v>
      </c>
      <c r="T165">
        <f t="shared" si="66"/>
        <v>0</v>
      </c>
      <c r="U165">
        <f t="shared" si="67"/>
        <v>0</v>
      </c>
      <c r="V165">
        <f t="shared" si="68"/>
        <v>0</v>
      </c>
      <c r="W165">
        <f t="shared" si="69"/>
        <v>0</v>
      </c>
      <c r="X165">
        <f t="shared" si="70"/>
        <v>0</v>
      </c>
      <c r="Y165">
        <f t="shared" si="71"/>
        <v>0</v>
      </c>
      <c r="Z165">
        <f t="shared" si="72"/>
        <v>0</v>
      </c>
    </row>
    <row r="166" spans="1:26" x14ac:dyDescent="0.25">
      <c r="A166" t="str">
        <f t="shared" si="50"/>
        <v>Image</v>
      </c>
      <c r="B166" t="str">
        <f t="shared" si="51"/>
        <v>Windows Media Skin (Zipped WMF in XML)</v>
      </c>
      <c r="C166" t="s">
        <v>221</v>
      </c>
      <c r="D166" s="1">
        <f t="shared" si="52"/>
        <v>0</v>
      </c>
      <c r="E166" s="1">
        <f t="shared" si="53"/>
        <v>0</v>
      </c>
      <c r="F166" s="1">
        <f t="shared" si="54"/>
        <v>0</v>
      </c>
      <c r="H166" s="1">
        <f t="shared" si="55"/>
        <v>0</v>
      </c>
      <c r="I166" s="1">
        <f t="shared" si="56"/>
        <v>0</v>
      </c>
      <c r="J166" s="1">
        <f t="shared" si="57"/>
        <v>0</v>
      </c>
      <c r="K166" s="1">
        <f t="shared" si="58"/>
        <v>0</v>
      </c>
      <c r="L166" s="1">
        <f t="shared" si="59"/>
        <v>0</v>
      </c>
      <c r="M166" s="1">
        <f t="shared" si="60"/>
        <v>0</v>
      </c>
      <c r="N166" s="1">
        <f t="shared" si="61"/>
        <v>0</v>
      </c>
      <c r="P166">
        <f t="shared" si="62"/>
        <v>0</v>
      </c>
      <c r="Q166" s="1">
        <f t="shared" si="63"/>
        <v>0</v>
      </c>
      <c r="R166">
        <f t="shared" si="64"/>
        <v>0</v>
      </c>
      <c r="S166">
        <f t="shared" si="65"/>
        <v>0</v>
      </c>
      <c r="T166">
        <f t="shared" si="66"/>
        <v>0</v>
      </c>
      <c r="U166">
        <f t="shared" si="67"/>
        <v>0</v>
      </c>
      <c r="V166">
        <f t="shared" si="68"/>
        <v>0</v>
      </c>
      <c r="W166">
        <f t="shared" si="69"/>
        <v>0</v>
      </c>
      <c r="X166">
        <f t="shared" si="70"/>
        <v>0</v>
      </c>
      <c r="Y166">
        <f t="shared" si="71"/>
        <v>0</v>
      </c>
      <c r="Z166">
        <f t="shared" si="72"/>
        <v>0</v>
      </c>
    </row>
    <row r="167" spans="1:26" x14ac:dyDescent="0.25">
      <c r="A167" t="str">
        <f t="shared" si="50"/>
        <v>Unknown</v>
      </c>
      <c r="B167" t="str">
        <f t="shared" si="51"/>
        <v>Unknown</v>
      </c>
      <c r="C167" t="s">
        <v>235</v>
      </c>
      <c r="D167" s="1">
        <f t="shared" si="52"/>
        <v>0</v>
      </c>
      <c r="E167" s="1">
        <f t="shared" si="53"/>
        <v>0</v>
      </c>
      <c r="F167" s="1">
        <f t="shared" si="54"/>
        <v>0</v>
      </c>
      <c r="H167" s="1">
        <f t="shared" si="55"/>
        <v>0</v>
      </c>
      <c r="I167" s="1">
        <f t="shared" si="56"/>
        <v>0</v>
      </c>
      <c r="J167" s="1">
        <f t="shared" si="57"/>
        <v>0</v>
      </c>
      <c r="K167" s="1">
        <f t="shared" si="58"/>
        <v>0</v>
      </c>
      <c r="L167" s="1">
        <f t="shared" si="59"/>
        <v>0</v>
      </c>
      <c r="M167" s="1">
        <f t="shared" si="60"/>
        <v>0</v>
      </c>
      <c r="N167" s="1">
        <f t="shared" si="61"/>
        <v>0</v>
      </c>
      <c r="P167">
        <f t="shared" si="62"/>
        <v>0</v>
      </c>
      <c r="Q167" s="1">
        <f t="shared" si="63"/>
        <v>0</v>
      </c>
      <c r="R167">
        <f t="shared" si="64"/>
        <v>0</v>
      </c>
      <c r="S167">
        <f t="shared" si="65"/>
        <v>0</v>
      </c>
      <c r="T167">
        <f t="shared" si="66"/>
        <v>0</v>
      </c>
      <c r="U167">
        <f t="shared" si="67"/>
        <v>0</v>
      </c>
      <c r="V167">
        <f t="shared" si="68"/>
        <v>0</v>
      </c>
      <c r="W167">
        <f t="shared" si="69"/>
        <v>0</v>
      </c>
      <c r="X167">
        <f t="shared" si="70"/>
        <v>0</v>
      </c>
      <c r="Y167">
        <f t="shared" ref="Y167:Y198" si="73">COUNTIFS(Exts,C167,Age,"&gt;=15")</f>
        <v>0</v>
      </c>
      <c r="Z167">
        <f t="shared" ref="Z167:Z198" si="74">COUNTIFS(Exts,C167,Age,"&gt;=20")</f>
        <v>0</v>
      </c>
    </row>
    <row r="168" spans="1:26" x14ac:dyDescent="0.25">
      <c r="A168" t="str">
        <f t="shared" si="50"/>
        <v>Unknown</v>
      </c>
      <c r="B168" t="str">
        <f t="shared" si="51"/>
        <v>Unknown</v>
      </c>
      <c r="C168" t="s">
        <v>155</v>
      </c>
      <c r="D168" s="1">
        <f t="shared" si="52"/>
        <v>0</v>
      </c>
      <c r="E168" s="1">
        <f t="shared" si="53"/>
        <v>0</v>
      </c>
      <c r="F168" s="1">
        <f t="shared" si="54"/>
        <v>0</v>
      </c>
      <c r="H168" s="1">
        <f t="shared" si="55"/>
        <v>0</v>
      </c>
      <c r="I168" s="1">
        <f t="shared" si="56"/>
        <v>0</v>
      </c>
      <c r="J168" s="1">
        <f t="shared" si="57"/>
        <v>0</v>
      </c>
      <c r="K168" s="1">
        <f t="shared" si="58"/>
        <v>0</v>
      </c>
      <c r="L168" s="1">
        <f t="shared" si="59"/>
        <v>0</v>
      </c>
      <c r="M168" s="1">
        <f t="shared" si="60"/>
        <v>0</v>
      </c>
      <c r="N168" s="1">
        <f t="shared" si="61"/>
        <v>0</v>
      </c>
      <c r="P168">
        <f t="shared" si="62"/>
        <v>0</v>
      </c>
      <c r="Q168" s="1">
        <f t="shared" si="63"/>
        <v>0</v>
      </c>
      <c r="R168">
        <f t="shared" si="64"/>
        <v>0</v>
      </c>
      <c r="S168">
        <f t="shared" si="65"/>
        <v>0</v>
      </c>
      <c r="T168">
        <f t="shared" si="66"/>
        <v>0</v>
      </c>
      <c r="U168">
        <f t="shared" si="67"/>
        <v>0</v>
      </c>
      <c r="V168">
        <f t="shared" si="68"/>
        <v>0</v>
      </c>
      <c r="W168">
        <f t="shared" si="69"/>
        <v>0</v>
      </c>
      <c r="X168">
        <f t="shared" si="70"/>
        <v>0</v>
      </c>
      <c r="Y168">
        <f t="shared" si="73"/>
        <v>0</v>
      </c>
      <c r="Z168">
        <f t="shared" si="74"/>
        <v>0</v>
      </c>
    </row>
    <row r="169" spans="1:26" x14ac:dyDescent="0.25">
      <c r="A169" t="str">
        <f t="shared" si="50"/>
        <v>Unknown</v>
      </c>
      <c r="B169" t="str">
        <f t="shared" si="51"/>
        <v>Unknown</v>
      </c>
      <c r="C169" t="s">
        <v>153</v>
      </c>
      <c r="D169" s="1">
        <f t="shared" si="52"/>
        <v>0</v>
      </c>
      <c r="E169" s="1">
        <f t="shared" si="53"/>
        <v>0</v>
      </c>
      <c r="F169" s="1">
        <f t="shared" si="54"/>
        <v>0</v>
      </c>
      <c r="H169" s="1">
        <f t="shared" si="55"/>
        <v>0</v>
      </c>
      <c r="I169" s="1">
        <f t="shared" si="56"/>
        <v>0</v>
      </c>
      <c r="J169" s="1">
        <f t="shared" si="57"/>
        <v>0</v>
      </c>
      <c r="K169" s="1">
        <f t="shared" si="58"/>
        <v>0</v>
      </c>
      <c r="L169" s="1">
        <f t="shared" si="59"/>
        <v>0</v>
      </c>
      <c r="M169" s="1">
        <f t="shared" si="60"/>
        <v>0</v>
      </c>
      <c r="N169" s="1">
        <f t="shared" si="61"/>
        <v>0</v>
      </c>
      <c r="P169">
        <f t="shared" si="62"/>
        <v>0</v>
      </c>
      <c r="Q169" s="1">
        <f t="shared" si="63"/>
        <v>0</v>
      </c>
      <c r="R169">
        <f t="shared" si="64"/>
        <v>0</v>
      </c>
      <c r="S169">
        <f t="shared" si="65"/>
        <v>0</v>
      </c>
      <c r="T169">
        <f t="shared" si="66"/>
        <v>0</v>
      </c>
      <c r="U169">
        <f t="shared" si="67"/>
        <v>0</v>
      </c>
      <c r="V169">
        <f t="shared" si="68"/>
        <v>0</v>
      </c>
      <c r="W169">
        <f t="shared" si="69"/>
        <v>0</v>
      </c>
      <c r="X169">
        <f t="shared" si="70"/>
        <v>0</v>
      </c>
      <c r="Y169">
        <f t="shared" si="73"/>
        <v>0</v>
      </c>
      <c r="Z169">
        <f t="shared" si="74"/>
        <v>0</v>
      </c>
    </row>
    <row r="170" spans="1:26" x14ac:dyDescent="0.25">
      <c r="A170" t="str">
        <f t="shared" si="50"/>
        <v>Unknown</v>
      </c>
      <c r="B170" t="str">
        <f t="shared" si="51"/>
        <v>Unknown</v>
      </c>
      <c r="C170" t="s">
        <v>200</v>
      </c>
      <c r="D170" s="1">
        <f t="shared" si="52"/>
        <v>0</v>
      </c>
      <c r="E170" s="1">
        <f t="shared" si="53"/>
        <v>0</v>
      </c>
      <c r="F170" s="1">
        <f t="shared" si="54"/>
        <v>0</v>
      </c>
      <c r="H170" s="1">
        <f t="shared" si="55"/>
        <v>0</v>
      </c>
      <c r="I170" s="1">
        <f t="shared" si="56"/>
        <v>0</v>
      </c>
      <c r="J170" s="1">
        <f t="shared" si="57"/>
        <v>0</v>
      </c>
      <c r="K170" s="1">
        <f t="shared" si="58"/>
        <v>0</v>
      </c>
      <c r="L170" s="1">
        <f t="shared" si="59"/>
        <v>0</v>
      </c>
      <c r="M170" s="1">
        <f t="shared" si="60"/>
        <v>0</v>
      </c>
      <c r="N170" s="1">
        <f t="shared" si="61"/>
        <v>0</v>
      </c>
      <c r="P170">
        <f t="shared" si="62"/>
        <v>0</v>
      </c>
      <c r="Q170" s="1">
        <f t="shared" si="63"/>
        <v>0</v>
      </c>
      <c r="R170">
        <f t="shared" si="64"/>
        <v>0</v>
      </c>
      <c r="S170">
        <f t="shared" si="65"/>
        <v>0</v>
      </c>
      <c r="T170">
        <f t="shared" si="66"/>
        <v>0</v>
      </c>
      <c r="U170">
        <f t="shared" si="67"/>
        <v>0</v>
      </c>
      <c r="V170">
        <f t="shared" si="68"/>
        <v>0</v>
      </c>
      <c r="W170">
        <f t="shared" si="69"/>
        <v>0</v>
      </c>
      <c r="X170">
        <f t="shared" si="70"/>
        <v>0</v>
      </c>
      <c r="Y170">
        <f t="shared" si="73"/>
        <v>0</v>
      </c>
      <c r="Z170">
        <f t="shared" si="74"/>
        <v>0</v>
      </c>
    </row>
    <row r="171" spans="1:26" x14ac:dyDescent="0.25">
      <c r="A171" t="str">
        <f t="shared" si="50"/>
        <v>Video</v>
      </c>
      <c r="B171" t="str">
        <f t="shared" si="51"/>
        <v>Audio-Video Interleaved</v>
      </c>
      <c r="C171" t="s">
        <v>190</v>
      </c>
      <c r="D171" s="1">
        <f t="shared" si="52"/>
        <v>0</v>
      </c>
      <c r="E171" s="1">
        <f t="shared" si="53"/>
        <v>0</v>
      </c>
      <c r="F171" s="1">
        <f t="shared" si="54"/>
        <v>0</v>
      </c>
      <c r="H171" s="1">
        <f t="shared" si="55"/>
        <v>0</v>
      </c>
      <c r="I171" s="1">
        <f t="shared" si="56"/>
        <v>0</v>
      </c>
      <c r="J171" s="1">
        <f t="shared" si="57"/>
        <v>0</v>
      </c>
      <c r="K171" s="1">
        <f t="shared" si="58"/>
        <v>0</v>
      </c>
      <c r="L171" s="1">
        <f t="shared" si="59"/>
        <v>0</v>
      </c>
      <c r="M171" s="1">
        <f t="shared" si="60"/>
        <v>0</v>
      </c>
      <c r="N171" s="1">
        <f t="shared" si="61"/>
        <v>0</v>
      </c>
      <c r="P171">
        <f t="shared" si="62"/>
        <v>0</v>
      </c>
      <c r="Q171" s="1">
        <f t="shared" si="63"/>
        <v>0</v>
      </c>
      <c r="R171">
        <f t="shared" si="64"/>
        <v>0</v>
      </c>
      <c r="S171">
        <f t="shared" si="65"/>
        <v>0</v>
      </c>
      <c r="T171">
        <f t="shared" si="66"/>
        <v>0</v>
      </c>
      <c r="U171">
        <f t="shared" si="67"/>
        <v>0</v>
      </c>
      <c r="V171">
        <f t="shared" si="68"/>
        <v>0</v>
      </c>
      <c r="W171">
        <f t="shared" si="69"/>
        <v>0</v>
      </c>
      <c r="X171">
        <f t="shared" si="70"/>
        <v>0</v>
      </c>
      <c r="Y171">
        <f t="shared" si="73"/>
        <v>0</v>
      </c>
      <c r="Z171">
        <f t="shared" si="74"/>
        <v>0</v>
      </c>
    </row>
    <row r="172" spans="1:26" x14ac:dyDescent="0.25">
      <c r="A172" t="str">
        <f t="shared" si="50"/>
        <v>Video</v>
      </c>
      <c r="B172" t="str">
        <f t="shared" si="51"/>
        <v>DivX Encoded Video</v>
      </c>
      <c r="C172" t="s">
        <v>351</v>
      </c>
      <c r="D172" s="1">
        <f t="shared" si="52"/>
        <v>0</v>
      </c>
      <c r="E172" s="1">
        <f t="shared" si="53"/>
        <v>0</v>
      </c>
      <c r="F172" s="1">
        <f t="shared" si="54"/>
        <v>0</v>
      </c>
      <c r="H172" s="1">
        <f t="shared" si="55"/>
        <v>0</v>
      </c>
      <c r="I172" s="1">
        <f t="shared" si="56"/>
        <v>0</v>
      </c>
      <c r="J172" s="1">
        <f t="shared" si="57"/>
        <v>0</v>
      </c>
      <c r="K172" s="1">
        <f t="shared" si="58"/>
        <v>0</v>
      </c>
      <c r="L172" s="1">
        <f t="shared" si="59"/>
        <v>0</v>
      </c>
      <c r="M172" s="1">
        <f t="shared" si="60"/>
        <v>0</v>
      </c>
      <c r="N172" s="1">
        <f t="shared" si="61"/>
        <v>0</v>
      </c>
      <c r="P172">
        <f t="shared" si="62"/>
        <v>0</v>
      </c>
      <c r="Q172" s="1">
        <f t="shared" si="63"/>
        <v>0</v>
      </c>
      <c r="R172">
        <f t="shared" si="64"/>
        <v>0</v>
      </c>
      <c r="S172">
        <f t="shared" si="65"/>
        <v>0</v>
      </c>
      <c r="T172">
        <f t="shared" si="66"/>
        <v>0</v>
      </c>
      <c r="U172">
        <f t="shared" si="67"/>
        <v>0</v>
      </c>
      <c r="V172">
        <f t="shared" si="68"/>
        <v>0</v>
      </c>
      <c r="W172">
        <f t="shared" si="69"/>
        <v>0</v>
      </c>
      <c r="X172">
        <f t="shared" si="70"/>
        <v>0</v>
      </c>
      <c r="Y172">
        <f t="shared" si="73"/>
        <v>0</v>
      </c>
      <c r="Z172">
        <f t="shared" si="74"/>
        <v>0</v>
      </c>
    </row>
    <row r="173" spans="1:26" x14ac:dyDescent="0.25">
      <c r="A173" t="str">
        <f t="shared" si="50"/>
        <v>Video</v>
      </c>
      <c r="B173" t="str">
        <f t="shared" si="51"/>
        <v>Flash video</v>
      </c>
      <c r="C173" t="s">
        <v>164</v>
      </c>
      <c r="D173" s="1">
        <f t="shared" si="52"/>
        <v>0</v>
      </c>
      <c r="E173" s="1">
        <f t="shared" si="53"/>
        <v>0</v>
      </c>
      <c r="F173" s="1">
        <f t="shared" si="54"/>
        <v>0</v>
      </c>
      <c r="H173" s="1">
        <f t="shared" si="55"/>
        <v>0</v>
      </c>
      <c r="I173" s="1">
        <f t="shared" si="56"/>
        <v>0</v>
      </c>
      <c r="J173" s="1">
        <f t="shared" si="57"/>
        <v>0</v>
      </c>
      <c r="K173" s="1">
        <f t="shared" si="58"/>
        <v>0</v>
      </c>
      <c r="L173" s="1">
        <f t="shared" si="59"/>
        <v>0</v>
      </c>
      <c r="M173" s="1">
        <f t="shared" si="60"/>
        <v>0</v>
      </c>
      <c r="N173" s="1">
        <f t="shared" si="61"/>
        <v>0</v>
      </c>
      <c r="P173">
        <f t="shared" si="62"/>
        <v>0</v>
      </c>
      <c r="Q173" s="1">
        <f t="shared" si="63"/>
        <v>0</v>
      </c>
      <c r="R173">
        <f t="shared" si="64"/>
        <v>0</v>
      </c>
      <c r="S173">
        <f t="shared" si="65"/>
        <v>0</v>
      </c>
      <c r="T173">
        <f t="shared" si="66"/>
        <v>0</v>
      </c>
      <c r="U173">
        <f t="shared" si="67"/>
        <v>0</v>
      </c>
      <c r="V173">
        <f t="shared" si="68"/>
        <v>0</v>
      </c>
      <c r="W173">
        <f t="shared" si="69"/>
        <v>0</v>
      </c>
      <c r="X173">
        <f t="shared" si="70"/>
        <v>0</v>
      </c>
      <c r="Y173">
        <f t="shared" si="73"/>
        <v>0</v>
      </c>
      <c r="Z173">
        <f t="shared" si="74"/>
        <v>0</v>
      </c>
    </row>
    <row r="174" spans="1:26" x14ac:dyDescent="0.25">
      <c r="A174" t="str">
        <f t="shared" si="50"/>
        <v>Video</v>
      </c>
      <c r="B174" t="str">
        <f t="shared" si="51"/>
        <v>DVD Subtitle File / Visual Studio Index File Structure</v>
      </c>
      <c r="C174" t="s">
        <v>237</v>
      </c>
      <c r="D174" s="1">
        <f t="shared" si="52"/>
        <v>0</v>
      </c>
      <c r="E174" s="1">
        <f t="shared" si="53"/>
        <v>0</v>
      </c>
      <c r="F174" s="1">
        <f t="shared" si="54"/>
        <v>0</v>
      </c>
      <c r="H174" s="1">
        <f t="shared" si="55"/>
        <v>0</v>
      </c>
      <c r="I174" s="1">
        <f t="shared" si="56"/>
        <v>0</v>
      </c>
      <c r="J174" s="1">
        <f t="shared" si="57"/>
        <v>0</v>
      </c>
      <c r="K174" s="1">
        <f t="shared" si="58"/>
        <v>0</v>
      </c>
      <c r="L174" s="1">
        <f t="shared" si="59"/>
        <v>0</v>
      </c>
      <c r="M174" s="1">
        <f t="shared" si="60"/>
        <v>0</v>
      </c>
      <c r="N174" s="1">
        <f t="shared" si="61"/>
        <v>0</v>
      </c>
      <c r="P174">
        <f t="shared" si="62"/>
        <v>0</v>
      </c>
      <c r="Q174" s="1">
        <f t="shared" si="63"/>
        <v>0</v>
      </c>
      <c r="R174">
        <f t="shared" si="64"/>
        <v>0</v>
      </c>
      <c r="S174">
        <f t="shared" si="65"/>
        <v>0</v>
      </c>
      <c r="T174">
        <f t="shared" si="66"/>
        <v>0</v>
      </c>
      <c r="U174">
        <f t="shared" si="67"/>
        <v>0</v>
      </c>
      <c r="V174">
        <f t="shared" si="68"/>
        <v>0</v>
      </c>
      <c r="W174">
        <f t="shared" si="69"/>
        <v>0</v>
      </c>
      <c r="X174">
        <f t="shared" si="70"/>
        <v>0</v>
      </c>
      <c r="Y174">
        <f t="shared" si="73"/>
        <v>0</v>
      </c>
      <c r="Z174">
        <f t="shared" si="74"/>
        <v>0</v>
      </c>
    </row>
    <row r="175" spans="1:26" x14ac:dyDescent="0.25">
      <c r="A175" t="str">
        <f t="shared" si="50"/>
        <v>Video</v>
      </c>
      <c r="B175" t="str">
        <f t="shared" si="51"/>
        <v>QuickTime Movie</v>
      </c>
      <c r="C175" t="s">
        <v>165</v>
      </c>
      <c r="D175" s="1">
        <f t="shared" si="52"/>
        <v>0</v>
      </c>
      <c r="E175" s="1">
        <f t="shared" si="53"/>
        <v>0</v>
      </c>
      <c r="F175" s="1">
        <f t="shared" si="54"/>
        <v>0</v>
      </c>
      <c r="H175" s="1">
        <f t="shared" si="55"/>
        <v>0</v>
      </c>
      <c r="I175" s="1">
        <f t="shared" si="56"/>
        <v>0</v>
      </c>
      <c r="J175" s="1">
        <f t="shared" si="57"/>
        <v>0</v>
      </c>
      <c r="K175" s="1">
        <f t="shared" si="58"/>
        <v>0</v>
      </c>
      <c r="L175" s="1">
        <f t="shared" si="59"/>
        <v>0</v>
      </c>
      <c r="M175" s="1">
        <f t="shared" si="60"/>
        <v>0</v>
      </c>
      <c r="N175" s="1">
        <f t="shared" si="61"/>
        <v>0</v>
      </c>
      <c r="P175">
        <f t="shared" si="62"/>
        <v>0</v>
      </c>
      <c r="Q175" s="1">
        <f t="shared" si="63"/>
        <v>0</v>
      </c>
      <c r="R175">
        <f t="shared" si="64"/>
        <v>0</v>
      </c>
      <c r="S175">
        <f t="shared" si="65"/>
        <v>0</v>
      </c>
      <c r="T175">
        <f t="shared" si="66"/>
        <v>0</v>
      </c>
      <c r="U175">
        <f t="shared" si="67"/>
        <v>0</v>
      </c>
      <c r="V175">
        <f t="shared" si="68"/>
        <v>0</v>
      </c>
      <c r="W175">
        <f t="shared" si="69"/>
        <v>0</v>
      </c>
      <c r="X175">
        <f t="shared" si="70"/>
        <v>0</v>
      </c>
      <c r="Y175">
        <f t="shared" si="73"/>
        <v>0</v>
      </c>
      <c r="Z175">
        <f t="shared" si="74"/>
        <v>0</v>
      </c>
    </row>
    <row r="176" spans="1:26" x14ac:dyDescent="0.25">
      <c r="A176" t="str">
        <f t="shared" si="50"/>
        <v>Video</v>
      </c>
      <c r="B176" t="str">
        <f t="shared" si="51"/>
        <v>Compressed video</v>
      </c>
      <c r="C176" t="s">
        <v>224</v>
      </c>
      <c r="D176" s="1">
        <f t="shared" si="52"/>
        <v>0</v>
      </c>
      <c r="E176" s="1">
        <f t="shared" si="53"/>
        <v>0</v>
      </c>
      <c r="F176" s="1">
        <f t="shared" si="54"/>
        <v>0</v>
      </c>
      <c r="H176" s="1">
        <f t="shared" si="55"/>
        <v>0</v>
      </c>
      <c r="I176" s="1">
        <f t="shared" si="56"/>
        <v>0</v>
      </c>
      <c r="J176" s="1">
        <f t="shared" si="57"/>
        <v>0</v>
      </c>
      <c r="K176" s="1">
        <f t="shared" si="58"/>
        <v>0</v>
      </c>
      <c r="L176" s="1">
        <f t="shared" si="59"/>
        <v>0</v>
      </c>
      <c r="M176" s="1">
        <f t="shared" si="60"/>
        <v>0</v>
      </c>
      <c r="N176" s="1">
        <f t="shared" si="61"/>
        <v>0</v>
      </c>
      <c r="P176">
        <f t="shared" si="62"/>
        <v>0</v>
      </c>
      <c r="Q176" s="1">
        <f t="shared" si="63"/>
        <v>0</v>
      </c>
      <c r="R176">
        <f t="shared" si="64"/>
        <v>0</v>
      </c>
      <c r="S176">
        <f t="shared" si="65"/>
        <v>0</v>
      </c>
      <c r="T176">
        <f t="shared" si="66"/>
        <v>0</v>
      </c>
      <c r="U176">
        <f t="shared" si="67"/>
        <v>0</v>
      </c>
      <c r="V176">
        <f t="shared" si="68"/>
        <v>0</v>
      </c>
      <c r="W176">
        <f t="shared" si="69"/>
        <v>0</v>
      </c>
      <c r="X176">
        <f t="shared" si="70"/>
        <v>0</v>
      </c>
      <c r="Y176">
        <f t="shared" si="73"/>
        <v>0</v>
      </c>
      <c r="Z176">
        <f t="shared" si="74"/>
        <v>0</v>
      </c>
    </row>
    <row r="177" spans="1:26" x14ac:dyDescent="0.25">
      <c r="A177" t="str">
        <f t="shared" si="50"/>
        <v>Video</v>
      </c>
      <c r="B177" t="str">
        <f t="shared" si="51"/>
        <v>MPEG 4 Video</v>
      </c>
      <c r="C177" t="s">
        <v>330</v>
      </c>
      <c r="D177" s="1">
        <f t="shared" si="52"/>
        <v>0</v>
      </c>
      <c r="E177" s="1">
        <f t="shared" si="53"/>
        <v>0</v>
      </c>
      <c r="F177" s="1">
        <f t="shared" si="54"/>
        <v>0</v>
      </c>
      <c r="H177" s="1">
        <f t="shared" si="55"/>
        <v>0</v>
      </c>
      <c r="I177" s="1">
        <f t="shared" si="56"/>
        <v>0</v>
      </c>
      <c r="J177" s="1">
        <f t="shared" si="57"/>
        <v>0</v>
      </c>
      <c r="K177" s="1">
        <f t="shared" si="58"/>
        <v>0</v>
      </c>
      <c r="L177" s="1">
        <f t="shared" si="59"/>
        <v>0</v>
      </c>
      <c r="M177" s="1">
        <f t="shared" si="60"/>
        <v>0</v>
      </c>
      <c r="N177" s="1">
        <f t="shared" si="61"/>
        <v>0</v>
      </c>
      <c r="P177">
        <f t="shared" si="62"/>
        <v>0</v>
      </c>
      <c r="Q177" s="1">
        <f t="shared" si="63"/>
        <v>0</v>
      </c>
      <c r="R177">
        <f t="shared" si="64"/>
        <v>0</v>
      </c>
      <c r="S177">
        <f t="shared" si="65"/>
        <v>0</v>
      </c>
      <c r="T177">
        <f t="shared" si="66"/>
        <v>0</v>
      </c>
      <c r="U177">
        <f t="shared" si="67"/>
        <v>0</v>
      </c>
      <c r="V177">
        <f t="shared" si="68"/>
        <v>0</v>
      </c>
      <c r="W177">
        <f t="shared" si="69"/>
        <v>0</v>
      </c>
      <c r="X177">
        <f t="shared" si="70"/>
        <v>0</v>
      </c>
      <c r="Y177">
        <f t="shared" si="73"/>
        <v>0</v>
      </c>
      <c r="Z177">
        <f t="shared" si="74"/>
        <v>0</v>
      </c>
    </row>
    <row r="178" spans="1:26" x14ac:dyDescent="0.25">
      <c r="A178" t="str">
        <f t="shared" si="50"/>
        <v>Video</v>
      </c>
      <c r="B178" t="str">
        <f t="shared" si="51"/>
        <v>MPEG 4 Video</v>
      </c>
      <c r="C178" t="s">
        <v>188</v>
      </c>
      <c r="D178" s="1">
        <f t="shared" si="52"/>
        <v>0</v>
      </c>
      <c r="E178" s="1">
        <f t="shared" si="53"/>
        <v>0</v>
      </c>
      <c r="F178" s="1">
        <f t="shared" si="54"/>
        <v>0</v>
      </c>
      <c r="H178" s="1">
        <f t="shared" si="55"/>
        <v>0</v>
      </c>
      <c r="I178" s="1">
        <f t="shared" si="56"/>
        <v>0</v>
      </c>
      <c r="J178" s="1">
        <f t="shared" si="57"/>
        <v>0</v>
      </c>
      <c r="K178" s="1">
        <f t="shared" si="58"/>
        <v>0</v>
      </c>
      <c r="L178" s="1">
        <f t="shared" si="59"/>
        <v>0</v>
      </c>
      <c r="M178" s="1">
        <f t="shared" si="60"/>
        <v>0</v>
      </c>
      <c r="N178" s="1">
        <f t="shared" si="61"/>
        <v>0</v>
      </c>
      <c r="P178">
        <f t="shared" si="62"/>
        <v>0</v>
      </c>
      <c r="Q178" s="1">
        <f t="shared" si="63"/>
        <v>0</v>
      </c>
      <c r="R178">
        <f t="shared" si="64"/>
        <v>0</v>
      </c>
      <c r="S178">
        <f t="shared" si="65"/>
        <v>0</v>
      </c>
      <c r="T178">
        <f t="shared" si="66"/>
        <v>0</v>
      </c>
      <c r="U178">
        <f t="shared" si="67"/>
        <v>0</v>
      </c>
      <c r="V178">
        <f t="shared" si="68"/>
        <v>0</v>
      </c>
      <c r="W178">
        <f t="shared" si="69"/>
        <v>0</v>
      </c>
      <c r="X178">
        <f t="shared" si="70"/>
        <v>0</v>
      </c>
      <c r="Y178">
        <f t="shared" si="73"/>
        <v>0</v>
      </c>
      <c r="Z178">
        <f t="shared" si="74"/>
        <v>0</v>
      </c>
    </row>
    <row r="179" spans="1:26" x14ac:dyDescent="0.25">
      <c r="A179" t="str">
        <f t="shared" si="50"/>
        <v>Video</v>
      </c>
      <c r="B179" t="str">
        <f t="shared" si="51"/>
        <v>RealMedia</v>
      </c>
      <c r="C179" t="s">
        <v>198</v>
      </c>
      <c r="D179" s="1">
        <f t="shared" si="52"/>
        <v>0</v>
      </c>
      <c r="E179" s="1">
        <f t="shared" si="53"/>
        <v>0</v>
      </c>
      <c r="F179" s="1">
        <f t="shared" si="54"/>
        <v>0</v>
      </c>
      <c r="H179" s="1">
        <f t="shared" si="55"/>
        <v>0</v>
      </c>
      <c r="I179" s="1">
        <f t="shared" si="56"/>
        <v>0</v>
      </c>
      <c r="J179" s="1">
        <f t="shared" si="57"/>
        <v>0</v>
      </c>
      <c r="K179" s="1">
        <f t="shared" si="58"/>
        <v>0</v>
      </c>
      <c r="L179" s="1">
        <f t="shared" si="59"/>
        <v>0</v>
      </c>
      <c r="M179" s="1">
        <f t="shared" si="60"/>
        <v>0</v>
      </c>
      <c r="N179" s="1">
        <f t="shared" si="61"/>
        <v>0</v>
      </c>
      <c r="P179">
        <f t="shared" si="62"/>
        <v>0</v>
      </c>
      <c r="Q179" s="1">
        <f t="shared" si="63"/>
        <v>0</v>
      </c>
      <c r="R179">
        <f t="shared" si="64"/>
        <v>0</v>
      </c>
      <c r="S179">
        <f t="shared" si="65"/>
        <v>0</v>
      </c>
      <c r="T179">
        <f t="shared" si="66"/>
        <v>0</v>
      </c>
      <c r="U179">
        <f t="shared" si="67"/>
        <v>0</v>
      </c>
      <c r="V179">
        <f t="shared" si="68"/>
        <v>0</v>
      </c>
      <c r="W179">
        <f t="shared" si="69"/>
        <v>0</v>
      </c>
      <c r="X179">
        <f t="shared" si="70"/>
        <v>0</v>
      </c>
      <c r="Y179">
        <f t="shared" si="73"/>
        <v>0</v>
      </c>
      <c r="Z179">
        <f t="shared" si="74"/>
        <v>0</v>
      </c>
    </row>
    <row r="180" spans="1:26" x14ac:dyDescent="0.25">
      <c r="A180" t="str">
        <f t="shared" si="50"/>
        <v>Video</v>
      </c>
      <c r="B180" t="str">
        <f t="shared" si="51"/>
        <v>Exchange Streaming Media</v>
      </c>
      <c r="C180" t="s">
        <v>142</v>
      </c>
      <c r="D180" s="1">
        <f t="shared" si="52"/>
        <v>0</v>
      </c>
      <c r="E180" s="1">
        <f t="shared" si="53"/>
        <v>0</v>
      </c>
      <c r="F180" s="1">
        <f t="shared" si="54"/>
        <v>0</v>
      </c>
      <c r="H180" s="1">
        <f t="shared" si="55"/>
        <v>0</v>
      </c>
      <c r="I180" s="1">
        <f t="shared" si="56"/>
        <v>0</v>
      </c>
      <c r="J180" s="1">
        <f t="shared" si="57"/>
        <v>0</v>
      </c>
      <c r="K180" s="1">
        <f t="shared" si="58"/>
        <v>0</v>
      </c>
      <c r="L180" s="1">
        <f t="shared" si="59"/>
        <v>0</v>
      </c>
      <c r="M180" s="1">
        <f t="shared" si="60"/>
        <v>0</v>
      </c>
      <c r="N180" s="1">
        <f t="shared" si="61"/>
        <v>0</v>
      </c>
      <c r="P180">
        <f t="shared" si="62"/>
        <v>0</v>
      </c>
      <c r="Q180" s="1">
        <f t="shared" si="63"/>
        <v>0</v>
      </c>
      <c r="R180">
        <f t="shared" si="64"/>
        <v>0</v>
      </c>
      <c r="S180">
        <f t="shared" si="65"/>
        <v>0</v>
      </c>
      <c r="T180">
        <f t="shared" si="66"/>
        <v>0</v>
      </c>
      <c r="U180">
        <f t="shared" si="67"/>
        <v>0</v>
      </c>
      <c r="V180">
        <f t="shared" si="68"/>
        <v>0</v>
      </c>
      <c r="W180">
        <f t="shared" si="69"/>
        <v>0</v>
      </c>
      <c r="X180">
        <f t="shared" si="70"/>
        <v>0</v>
      </c>
      <c r="Y180">
        <f t="shared" si="73"/>
        <v>0</v>
      </c>
      <c r="Z180">
        <f t="shared" si="74"/>
        <v>0</v>
      </c>
    </row>
    <row r="181" spans="1:26" x14ac:dyDescent="0.25">
      <c r="A181" t="str">
        <f t="shared" si="50"/>
        <v>Video</v>
      </c>
      <c r="B181" t="str">
        <f t="shared" si="51"/>
        <v>Flash video</v>
      </c>
      <c r="C181" t="s">
        <v>136</v>
      </c>
      <c r="D181" s="1">
        <f t="shared" si="52"/>
        <v>0</v>
      </c>
      <c r="E181" s="1">
        <f t="shared" si="53"/>
        <v>0</v>
      </c>
      <c r="F181" s="1">
        <f t="shared" si="54"/>
        <v>0</v>
      </c>
      <c r="H181" s="1">
        <f t="shared" si="55"/>
        <v>0</v>
      </c>
      <c r="I181" s="1">
        <f t="shared" si="56"/>
        <v>0</v>
      </c>
      <c r="J181" s="1">
        <f t="shared" si="57"/>
        <v>0</v>
      </c>
      <c r="K181" s="1">
        <f t="shared" si="58"/>
        <v>0</v>
      </c>
      <c r="L181" s="1">
        <f t="shared" si="59"/>
        <v>0</v>
      </c>
      <c r="M181" s="1">
        <f t="shared" si="60"/>
        <v>0</v>
      </c>
      <c r="N181" s="1">
        <f t="shared" si="61"/>
        <v>0</v>
      </c>
      <c r="P181">
        <f t="shared" si="62"/>
        <v>0</v>
      </c>
      <c r="Q181" s="1">
        <f t="shared" si="63"/>
        <v>0</v>
      </c>
      <c r="R181">
        <f t="shared" si="64"/>
        <v>0</v>
      </c>
      <c r="S181">
        <f t="shared" si="65"/>
        <v>0</v>
      </c>
      <c r="T181">
        <f t="shared" si="66"/>
        <v>0</v>
      </c>
      <c r="U181">
        <f t="shared" si="67"/>
        <v>0</v>
      </c>
      <c r="V181">
        <f t="shared" si="68"/>
        <v>0</v>
      </c>
      <c r="W181">
        <f t="shared" si="69"/>
        <v>0</v>
      </c>
      <c r="X181">
        <f t="shared" si="70"/>
        <v>0</v>
      </c>
      <c r="Y181">
        <f t="shared" si="73"/>
        <v>0</v>
      </c>
      <c r="Z181">
        <f t="shared" si="74"/>
        <v>0</v>
      </c>
    </row>
    <row r="182" spans="1:26" x14ac:dyDescent="0.25">
      <c r="A182" t="str">
        <f t="shared" si="50"/>
        <v>Video</v>
      </c>
      <c r="B182" t="str">
        <f t="shared" si="51"/>
        <v>Flash video</v>
      </c>
      <c r="C182" t="s">
        <v>331</v>
      </c>
      <c r="D182" s="1">
        <f t="shared" si="52"/>
        <v>0</v>
      </c>
      <c r="E182" s="1">
        <f t="shared" si="53"/>
        <v>0</v>
      </c>
      <c r="F182" s="1">
        <f t="shared" si="54"/>
        <v>0</v>
      </c>
      <c r="H182" s="1">
        <f t="shared" si="55"/>
        <v>0</v>
      </c>
      <c r="I182" s="1">
        <f t="shared" si="56"/>
        <v>0</v>
      </c>
      <c r="J182" s="1">
        <f t="shared" si="57"/>
        <v>0</v>
      </c>
      <c r="K182" s="1">
        <f t="shared" si="58"/>
        <v>0</v>
      </c>
      <c r="L182" s="1">
        <f t="shared" si="59"/>
        <v>0</v>
      </c>
      <c r="M182" s="1">
        <f t="shared" si="60"/>
        <v>0</v>
      </c>
      <c r="N182" s="1">
        <f t="shared" si="61"/>
        <v>0</v>
      </c>
      <c r="P182">
        <f t="shared" si="62"/>
        <v>0</v>
      </c>
      <c r="Q182" s="1">
        <f t="shared" si="63"/>
        <v>0</v>
      </c>
      <c r="R182">
        <f t="shared" si="64"/>
        <v>0</v>
      </c>
      <c r="S182">
        <f t="shared" si="65"/>
        <v>0</v>
      </c>
      <c r="T182">
        <f t="shared" si="66"/>
        <v>0</v>
      </c>
      <c r="U182">
        <f t="shared" si="67"/>
        <v>0</v>
      </c>
      <c r="V182">
        <f t="shared" si="68"/>
        <v>0</v>
      </c>
      <c r="W182">
        <f t="shared" si="69"/>
        <v>0</v>
      </c>
      <c r="X182">
        <f t="shared" si="70"/>
        <v>0</v>
      </c>
      <c r="Y182">
        <f t="shared" si="73"/>
        <v>0</v>
      </c>
      <c r="Z182">
        <f t="shared" si="74"/>
        <v>0</v>
      </c>
    </row>
    <row r="183" spans="1:26" x14ac:dyDescent="0.25">
      <c r="A183" t="str">
        <f t="shared" si="50"/>
        <v>Video</v>
      </c>
      <c r="B183" t="str">
        <f t="shared" si="51"/>
        <v>DVD Video Object File</v>
      </c>
      <c r="C183" t="s">
        <v>332</v>
      </c>
      <c r="D183" s="1">
        <f t="shared" si="52"/>
        <v>0</v>
      </c>
      <c r="E183" s="1">
        <f t="shared" si="53"/>
        <v>0</v>
      </c>
      <c r="F183" s="1">
        <f t="shared" si="54"/>
        <v>0</v>
      </c>
      <c r="H183" s="1">
        <f t="shared" si="55"/>
        <v>0</v>
      </c>
      <c r="I183" s="1">
        <f t="shared" si="56"/>
        <v>0</v>
      </c>
      <c r="J183" s="1">
        <f t="shared" si="57"/>
        <v>0</v>
      </c>
      <c r="K183" s="1">
        <f t="shared" si="58"/>
        <v>0</v>
      </c>
      <c r="L183" s="1">
        <f t="shared" si="59"/>
        <v>0</v>
      </c>
      <c r="M183" s="1">
        <f t="shared" si="60"/>
        <v>0</v>
      </c>
      <c r="N183" s="1">
        <f t="shared" si="61"/>
        <v>0</v>
      </c>
      <c r="P183">
        <f t="shared" si="62"/>
        <v>0</v>
      </c>
      <c r="Q183" s="1">
        <f t="shared" si="63"/>
        <v>0</v>
      </c>
      <c r="R183">
        <f t="shared" si="64"/>
        <v>0</v>
      </c>
      <c r="S183">
        <f t="shared" si="65"/>
        <v>0</v>
      </c>
      <c r="T183">
        <f t="shared" si="66"/>
        <v>0</v>
      </c>
      <c r="U183">
        <f t="shared" si="67"/>
        <v>0</v>
      </c>
      <c r="V183">
        <f t="shared" si="68"/>
        <v>0</v>
      </c>
      <c r="W183">
        <f t="shared" si="69"/>
        <v>0</v>
      </c>
      <c r="X183">
        <f t="shared" si="70"/>
        <v>0</v>
      </c>
      <c r="Y183">
        <f t="shared" si="73"/>
        <v>0</v>
      </c>
      <c r="Z183">
        <f t="shared" si="74"/>
        <v>0</v>
      </c>
    </row>
    <row r="184" spans="1:26" x14ac:dyDescent="0.25">
      <c r="A184" t="str">
        <f t="shared" si="50"/>
        <v>Video</v>
      </c>
      <c r="B184" t="str">
        <f t="shared" si="51"/>
        <v>Windows Media Video</v>
      </c>
      <c r="C184" t="s">
        <v>187</v>
      </c>
      <c r="D184" s="1">
        <f t="shared" si="52"/>
        <v>0</v>
      </c>
      <c r="E184" s="1">
        <f t="shared" si="53"/>
        <v>0</v>
      </c>
      <c r="F184" s="1">
        <f t="shared" si="54"/>
        <v>0</v>
      </c>
      <c r="H184" s="1">
        <f t="shared" si="55"/>
        <v>0</v>
      </c>
      <c r="I184" s="1">
        <f t="shared" si="56"/>
        <v>0</v>
      </c>
      <c r="J184" s="1">
        <f t="shared" si="57"/>
        <v>0</v>
      </c>
      <c r="K184" s="1">
        <f t="shared" si="58"/>
        <v>0</v>
      </c>
      <c r="L184" s="1">
        <f t="shared" si="59"/>
        <v>0</v>
      </c>
      <c r="M184" s="1">
        <f t="shared" si="60"/>
        <v>0</v>
      </c>
      <c r="N184" s="1">
        <f t="shared" si="61"/>
        <v>0</v>
      </c>
      <c r="P184">
        <f t="shared" si="62"/>
        <v>0</v>
      </c>
      <c r="Q184" s="1">
        <f t="shared" si="63"/>
        <v>0</v>
      </c>
      <c r="R184">
        <f t="shared" si="64"/>
        <v>0</v>
      </c>
      <c r="S184">
        <f t="shared" si="65"/>
        <v>0</v>
      </c>
      <c r="T184">
        <f t="shared" si="66"/>
        <v>0</v>
      </c>
      <c r="U184">
        <f t="shared" si="67"/>
        <v>0</v>
      </c>
      <c r="V184">
        <f t="shared" si="68"/>
        <v>0</v>
      </c>
      <c r="W184">
        <f t="shared" si="69"/>
        <v>0</v>
      </c>
      <c r="X184">
        <f t="shared" si="70"/>
        <v>0</v>
      </c>
      <c r="Y184">
        <f t="shared" si="73"/>
        <v>0</v>
      </c>
      <c r="Z184">
        <f t="shared" si="74"/>
        <v>0</v>
      </c>
    </row>
    <row r="185" spans="1:26" x14ac:dyDescent="0.25">
      <c r="A185" t="str">
        <f t="shared" si="50"/>
        <v>Web</v>
      </c>
      <c r="B185" t="str">
        <f t="shared" si="51"/>
        <v>Microsoft WebForms</v>
      </c>
      <c r="C185" t="s">
        <v>170</v>
      </c>
      <c r="D185" s="1">
        <f t="shared" si="52"/>
        <v>0</v>
      </c>
      <c r="E185" s="1">
        <f t="shared" si="53"/>
        <v>0</v>
      </c>
      <c r="F185" s="1">
        <f t="shared" si="54"/>
        <v>0</v>
      </c>
      <c r="H185" s="1">
        <f t="shared" si="55"/>
        <v>0</v>
      </c>
      <c r="I185" s="1">
        <f t="shared" si="56"/>
        <v>0</v>
      </c>
      <c r="J185" s="1">
        <f t="shared" si="57"/>
        <v>0</v>
      </c>
      <c r="K185" s="1">
        <f t="shared" si="58"/>
        <v>0</v>
      </c>
      <c r="L185" s="1">
        <f t="shared" si="59"/>
        <v>0</v>
      </c>
      <c r="M185" s="1">
        <f t="shared" si="60"/>
        <v>0</v>
      </c>
      <c r="N185" s="1">
        <f t="shared" si="61"/>
        <v>0</v>
      </c>
      <c r="P185">
        <f t="shared" si="62"/>
        <v>0</v>
      </c>
      <c r="Q185" s="1">
        <f t="shared" si="63"/>
        <v>0</v>
      </c>
      <c r="R185">
        <f t="shared" si="64"/>
        <v>0</v>
      </c>
      <c r="S185">
        <f t="shared" si="65"/>
        <v>0</v>
      </c>
      <c r="T185">
        <f t="shared" si="66"/>
        <v>0</v>
      </c>
      <c r="U185">
        <f t="shared" si="67"/>
        <v>0</v>
      </c>
      <c r="V185">
        <f t="shared" si="68"/>
        <v>0</v>
      </c>
      <c r="W185">
        <f t="shared" si="69"/>
        <v>0</v>
      </c>
      <c r="X185">
        <f t="shared" si="70"/>
        <v>0</v>
      </c>
      <c r="Y185">
        <f t="shared" si="73"/>
        <v>0</v>
      </c>
      <c r="Z185">
        <f t="shared" si="74"/>
        <v>0</v>
      </c>
    </row>
    <row r="186" spans="1:26" x14ac:dyDescent="0.25">
      <c r="A186" t="str">
        <f t="shared" si="50"/>
        <v>Web</v>
      </c>
      <c r="B186" t="str">
        <f t="shared" si="51"/>
        <v>Microsoft WebForms</v>
      </c>
      <c r="C186" t="s">
        <v>157</v>
      </c>
      <c r="D186" s="1">
        <f t="shared" si="52"/>
        <v>0</v>
      </c>
      <c r="E186" s="1">
        <f t="shared" si="53"/>
        <v>0</v>
      </c>
      <c r="F186" s="1">
        <f t="shared" si="54"/>
        <v>0</v>
      </c>
      <c r="H186" s="1">
        <f t="shared" si="55"/>
        <v>0</v>
      </c>
      <c r="I186" s="1">
        <f t="shared" si="56"/>
        <v>0</v>
      </c>
      <c r="J186" s="1">
        <f t="shared" si="57"/>
        <v>0</v>
      </c>
      <c r="K186" s="1">
        <f t="shared" si="58"/>
        <v>0</v>
      </c>
      <c r="L186" s="1">
        <f t="shared" si="59"/>
        <v>0</v>
      </c>
      <c r="M186" s="1">
        <f t="shared" si="60"/>
        <v>0</v>
      </c>
      <c r="N186" s="1">
        <f t="shared" si="61"/>
        <v>0</v>
      </c>
      <c r="P186">
        <f t="shared" si="62"/>
        <v>0</v>
      </c>
      <c r="Q186" s="1">
        <f t="shared" si="63"/>
        <v>0</v>
      </c>
      <c r="R186">
        <f t="shared" si="64"/>
        <v>0</v>
      </c>
      <c r="S186">
        <f t="shared" si="65"/>
        <v>0</v>
      </c>
      <c r="T186">
        <f t="shared" si="66"/>
        <v>0</v>
      </c>
      <c r="U186">
        <f t="shared" si="67"/>
        <v>0</v>
      </c>
      <c r="V186">
        <f t="shared" si="68"/>
        <v>0</v>
      </c>
      <c r="W186">
        <f t="shared" si="69"/>
        <v>0</v>
      </c>
      <c r="X186">
        <f t="shared" si="70"/>
        <v>0</v>
      </c>
      <c r="Y186">
        <f t="shared" si="73"/>
        <v>0</v>
      </c>
      <c r="Z186">
        <f t="shared" si="74"/>
        <v>0</v>
      </c>
    </row>
    <row r="187" spans="1:26" x14ac:dyDescent="0.25">
      <c r="A187" t="str">
        <f t="shared" si="50"/>
        <v>Web</v>
      </c>
      <c r="B187" t="str">
        <f t="shared" si="51"/>
        <v>Microsoft WebForms</v>
      </c>
      <c r="C187" t="s">
        <v>215</v>
      </c>
      <c r="D187" s="1">
        <f t="shared" si="52"/>
        <v>0</v>
      </c>
      <c r="E187" s="1">
        <f t="shared" si="53"/>
        <v>0</v>
      </c>
      <c r="F187" s="1">
        <f t="shared" si="54"/>
        <v>0</v>
      </c>
      <c r="H187" s="1">
        <f t="shared" si="55"/>
        <v>0</v>
      </c>
      <c r="I187" s="1">
        <f t="shared" si="56"/>
        <v>0</v>
      </c>
      <c r="J187" s="1">
        <f t="shared" si="57"/>
        <v>0</v>
      </c>
      <c r="K187" s="1">
        <f t="shared" si="58"/>
        <v>0</v>
      </c>
      <c r="L187" s="1">
        <f t="shared" si="59"/>
        <v>0</v>
      </c>
      <c r="M187" s="1">
        <f t="shared" si="60"/>
        <v>0</v>
      </c>
      <c r="N187" s="1">
        <f t="shared" si="61"/>
        <v>0</v>
      </c>
      <c r="P187">
        <f t="shared" si="62"/>
        <v>0</v>
      </c>
      <c r="Q187" s="1">
        <f t="shared" si="63"/>
        <v>0</v>
      </c>
      <c r="R187">
        <f t="shared" si="64"/>
        <v>0</v>
      </c>
      <c r="S187">
        <f t="shared" si="65"/>
        <v>0</v>
      </c>
      <c r="T187">
        <f t="shared" si="66"/>
        <v>0</v>
      </c>
      <c r="U187">
        <f t="shared" si="67"/>
        <v>0</v>
      </c>
      <c r="V187">
        <f t="shared" si="68"/>
        <v>0</v>
      </c>
      <c r="W187">
        <f t="shared" si="69"/>
        <v>0</v>
      </c>
      <c r="X187">
        <f t="shared" si="70"/>
        <v>0</v>
      </c>
      <c r="Y187">
        <f t="shared" si="73"/>
        <v>0</v>
      </c>
      <c r="Z187">
        <f t="shared" si="74"/>
        <v>0</v>
      </c>
    </row>
    <row r="188" spans="1:26" x14ac:dyDescent="0.25">
      <c r="A188" t="str">
        <f t="shared" si="50"/>
        <v>Web</v>
      </c>
      <c r="B188" t="str">
        <f t="shared" si="51"/>
        <v>Microsoft WebForms</v>
      </c>
      <c r="C188" t="s">
        <v>127</v>
      </c>
      <c r="D188" s="1">
        <f t="shared" si="52"/>
        <v>0</v>
      </c>
      <c r="E188" s="1">
        <f t="shared" si="53"/>
        <v>0</v>
      </c>
      <c r="F188" s="1">
        <f t="shared" si="54"/>
        <v>0</v>
      </c>
      <c r="H188" s="1">
        <f t="shared" si="55"/>
        <v>0</v>
      </c>
      <c r="I188" s="1">
        <f t="shared" si="56"/>
        <v>0</v>
      </c>
      <c r="J188" s="1">
        <f t="shared" si="57"/>
        <v>0</v>
      </c>
      <c r="K188" s="1">
        <f t="shared" si="58"/>
        <v>0</v>
      </c>
      <c r="L188" s="1">
        <f t="shared" si="59"/>
        <v>0</v>
      </c>
      <c r="M188" s="1">
        <f t="shared" si="60"/>
        <v>0</v>
      </c>
      <c r="N188" s="1">
        <f t="shared" si="61"/>
        <v>0</v>
      </c>
      <c r="P188">
        <f t="shared" si="62"/>
        <v>0</v>
      </c>
      <c r="Q188" s="1">
        <f t="shared" si="63"/>
        <v>0</v>
      </c>
      <c r="R188">
        <f t="shared" si="64"/>
        <v>0</v>
      </c>
      <c r="S188">
        <f t="shared" si="65"/>
        <v>0</v>
      </c>
      <c r="T188">
        <f t="shared" si="66"/>
        <v>0</v>
      </c>
      <c r="U188">
        <f t="shared" si="67"/>
        <v>0</v>
      </c>
      <c r="V188">
        <f t="shared" si="68"/>
        <v>0</v>
      </c>
      <c r="W188">
        <f t="shared" si="69"/>
        <v>0</v>
      </c>
      <c r="X188">
        <f t="shared" si="70"/>
        <v>0</v>
      </c>
      <c r="Y188">
        <f t="shared" si="73"/>
        <v>0</v>
      </c>
      <c r="Z188">
        <f t="shared" si="74"/>
        <v>0</v>
      </c>
    </row>
    <row r="189" spans="1:26" x14ac:dyDescent="0.25">
      <c r="A189" t="str">
        <f t="shared" si="50"/>
        <v>Web</v>
      </c>
      <c r="B189" t="str">
        <f t="shared" si="51"/>
        <v>ColdFusion</v>
      </c>
      <c r="C189" t="s">
        <v>282</v>
      </c>
      <c r="D189" s="1">
        <f t="shared" si="52"/>
        <v>0</v>
      </c>
      <c r="E189" s="1">
        <f t="shared" si="53"/>
        <v>0</v>
      </c>
      <c r="F189" s="1">
        <f t="shared" si="54"/>
        <v>0</v>
      </c>
      <c r="H189" s="1">
        <f t="shared" si="55"/>
        <v>0</v>
      </c>
      <c r="I189" s="1">
        <f t="shared" si="56"/>
        <v>0</v>
      </c>
      <c r="J189" s="1">
        <f t="shared" si="57"/>
        <v>0</v>
      </c>
      <c r="K189" s="1">
        <f t="shared" si="58"/>
        <v>0</v>
      </c>
      <c r="L189" s="1">
        <f t="shared" si="59"/>
        <v>0</v>
      </c>
      <c r="M189" s="1">
        <f t="shared" si="60"/>
        <v>0</v>
      </c>
      <c r="N189" s="1">
        <f t="shared" si="61"/>
        <v>0</v>
      </c>
      <c r="P189">
        <f t="shared" si="62"/>
        <v>0</v>
      </c>
      <c r="Q189" s="1">
        <f t="shared" si="63"/>
        <v>0</v>
      </c>
      <c r="R189">
        <f t="shared" si="64"/>
        <v>0</v>
      </c>
      <c r="S189">
        <f t="shared" si="65"/>
        <v>0</v>
      </c>
      <c r="T189">
        <f t="shared" si="66"/>
        <v>0</v>
      </c>
      <c r="U189">
        <f t="shared" si="67"/>
        <v>0</v>
      </c>
      <c r="V189">
        <f t="shared" si="68"/>
        <v>0</v>
      </c>
      <c r="W189">
        <f t="shared" si="69"/>
        <v>0</v>
      </c>
      <c r="X189">
        <f t="shared" si="70"/>
        <v>0</v>
      </c>
      <c r="Y189">
        <f t="shared" si="73"/>
        <v>0</v>
      </c>
      <c r="Z189">
        <f t="shared" si="74"/>
        <v>0</v>
      </c>
    </row>
    <row r="190" spans="1:26" x14ac:dyDescent="0.25">
      <c r="A190" t="str">
        <f t="shared" si="50"/>
        <v>Web</v>
      </c>
      <c r="B190" t="str">
        <f t="shared" si="51"/>
        <v>Perl or C Script</v>
      </c>
      <c r="C190" t="s">
        <v>166</v>
      </c>
      <c r="D190" s="1">
        <f t="shared" si="52"/>
        <v>0</v>
      </c>
      <c r="E190" s="1">
        <f t="shared" si="53"/>
        <v>0</v>
      </c>
      <c r="F190" s="1">
        <f t="shared" si="54"/>
        <v>0</v>
      </c>
      <c r="H190" s="1">
        <f t="shared" si="55"/>
        <v>0</v>
      </c>
      <c r="I190" s="1">
        <f t="shared" si="56"/>
        <v>0</v>
      </c>
      <c r="J190" s="1">
        <f t="shared" si="57"/>
        <v>0</v>
      </c>
      <c r="K190" s="1">
        <f t="shared" si="58"/>
        <v>0</v>
      </c>
      <c r="L190" s="1">
        <f t="shared" si="59"/>
        <v>0</v>
      </c>
      <c r="M190" s="1">
        <f t="shared" si="60"/>
        <v>0</v>
      </c>
      <c r="N190" s="1">
        <f t="shared" si="61"/>
        <v>0</v>
      </c>
      <c r="P190">
        <f t="shared" si="62"/>
        <v>0</v>
      </c>
      <c r="Q190" s="1">
        <f t="shared" si="63"/>
        <v>0</v>
      </c>
      <c r="R190">
        <f t="shared" si="64"/>
        <v>0</v>
      </c>
      <c r="S190">
        <f t="shared" si="65"/>
        <v>0</v>
      </c>
      <c r="T190">
        <f t="shared" si="66"/>
        <v>0</v>
      </c>
      <c r="U190">
        <f t="shared" si="67"/>
        <v>0</v>
      </c>
      <c r="V190">
        <f t="shared" si="68"/>
        <v>0</v>
      </c>
      <c r="W190">
        <f t="shared" si="69"/>
        <v>0</v>
      </c>
      <c r="X190">
        <f t="shared" si="70"/>
        <v>0</v>
      </c>
      <c r="Y190">
        <f t="shared" si="73"/>
        <v>0</v>
      </c>
      <c r="Z190">
        <f t="shared" si="74"/>
        <v>0</v>
      </c>
    </row>
    <row r="191" spans="1:26" x14ac:dyDescent="0.25">
      <c r="A191" t="str">
        <f t="shared" si="50"/>
        <v>Web</v>
      </c>
      <c r="B191" t="str">
        <f t="shared" si="51"/>
        <v>Cascading Style Sheet</v>
      </c>
      <c r="C191" t="s">
        <v>129</v>
      </c>
      <c r="D191" s="1">
        <f t="shared" si="52"/>
        <v>0</v>
      </c>
      <c r="E191" s="1">
        <f t="shared" si="53"/>
        <v>0</v>
      </c>
      <c r="F191" s="1">
        <f t="shared" si="54"/>
        <v>0</v>
      </c>
      <c r="H191" s="1">
        <f t="shared" si="55"/>
        <v>0</v>
      </c>
      <c r="I191" s="1">
        <f t="shared" si="56"/>
        <v>0</v>
      </c>
      <c r="J191" s="1">
        <f t="shared" si="57"/>
        <v>0</v>
      </c>
      <c r="K191" s="1">
        <f t="shared" si="58"/>
        <v>0</v>
      </c>
      <c r="L191" s="1">
        <f t="shared" si="59"/>
        <v>0</v>
      </c>
      <c r="M191" s="1">
        <f t="shared" si="60"/>
        <v>0</v>
      </c>
      <c r="N191" s="1">
        <f t="shared" si="61"/>
        <v>0</v>
      </c>
      <c r="P191">
        <f t="shared" si="62"/>
        <v>0</v>
      </c>
      <c r="Q191" s="1">
        <f t="shared" si="63"/>
        <v>0</v>
      </c>
      <c r="R191">
        <f t="shared" si="64"/>
        <v>0</v>
      </c>
      <c r="S191">
        <f t="shared" si="65"/>
        <v>0</v>
      </c>
      <c r="T191">
        <f t="shared" si="66"/>
        <v>0</v>
      </c>
      <c r="U191">
        <f t="shared" si="67"/>
        <v>0</v>
      </c>
      <c r="V191">
        <f t="shared" si="68"/>
        <v>0</v>
      </c>
      <c r="W191">
        <f t="shared" si="69"/>
        <v>0</v>
      </c>
      <c r="X191">
        <f t="shared" si="70"/>
        <v>0</v>
      </c>
      <c r="Y191">
        <f t="shared" si="73"/>
        <v>0</v>
      </c>
      <c r="Z191">
        <f t="shared" si="74"/>
        <v>0</v>
      </c>
    </row>
    <row r="192" spans="1:26" x14ac:dyDescent="0.25">
      <c r="A192" t="str">
        <f t="shared" si="50"/>
        <v>Web</v>
      </c>
      <c r="B192" t="str">
        <f t="shared" si="51"/>
        <v xml:space="preserve">Web Service Discovery </v>
      </c>
      <c r="C192" t="s">
        <v>360</v>
      </c>
      <c r="D192" s="1">
        <f t="shared" si="52"/>
        <v>0</v>
      </c>
      <c r="E192" s="1">
        <f t="shared" si="53"/>
        <v>0</v>
      </c>
      <c r="F192" s="1">
        <f t="shared" si="54"/>
        <v>0</v>
      </c>
      <c r="H192" s="1">
        <f t="shared" si="55"/>
        <v>0</v>
      </c>
      <c r="I192" s="1">
        <f t="shared" si="56"/>
        <v>0</v>
      </c>
      <c r="J192" s="1">
        <f t="shared" si="57"/>
        <v>0</v>
      </c>
      <c r="K192" s="1">
        <f t="shared" si="58"/>
        <v>0</v>
      </c>
      <c r="L192" s="1">
        <f t="shared" si="59"/>
        <v>0</v>
      </c>
      <c r="M192" s="1">
        <f t="shared" si="60"/>
        <v>0</v>
      </c>
      <c r="N192" s="1">
        <f t="shared" si="61"/>
        <v>0</v>
      </c>
      <c r="P192">
        <f t="shared" si="62"/>
        <v>0</v>
      </c>
      <c r="Q192" s="1">
        <f t="shared" si="63"/>
        <v>0</v>
      </c>
      <c r="R192">
        <f t="shared" si="64"/>
        <v>0</v>
      </c>
      <c r="S192">
        <f t="shared" si="65"/>
        <v>0</v>
      </c>
      <c r="T192">
        <f t="shared" si="66"/>
        <v>0</v>
      </c>
      <c r="U192">
        <f t="shared" si="67"/>
        <v>0</v>
      </c>
      <c r="V192">
        <f t="shared" si="68"/>
        <v>0</v>
      </c>
      <c r="W192">
        <f t="shared" si="69"/>
        <v>0</v>
      </c>
      <c r="X192">
        <f t="shared" si="70"/>
        <v>0</v>
      </c>
      <c r="Y192">
        <f t="shared" si="73"/>
        <v>0</v>
      </c>
      <c r="Z192">
        <f t="shared" si="74"/>
        <v>0</v>
      </c>
    </row>
    <row r="193" spans="1:26" x14ac:dyDescent="0.25">
      <c r="A193" t="str">
        <f t="shared" si="50"/>
        <v>Web</v>
      </c>
      <c r="B193" t="str">
        <f t="shared" si="51"/>
        <v>Web Service Discovery Output</v>
      </c>
      <c r="C193" t="s">
        <v>173</v>
      </c>
      <c r="D193" s="1">
        <f t="shared" si="52"/>
        <v>0</v>
      </c>
      <c r="E193" s="1">
        <f t="shared" si="53"/>
        <v>0</v>
      </c>
      <c r="F193" s="1">
        <f t="shared" si="54"/>
        <v>0</v>
      </c>
      <c r="H193" s="1">
        <f t="shared" si="55"/>
        <v>0</v>
      </c>
      <c r="I193" s="1">
        <f t="shared" si="56"/>
        <v>0</v>
      </c>
      <c r="J193" s="1">
        <f t="shared" si="57"/>
        <v>0</v>
      </c>
      <c r="K193" s="1">
        <f t="shared" si="58"/>
        <v>0</v>
      </c>
      <c r="L193" s="1">
        <f t="shared" si="59"/>
        <v>0</v>
      </c>
      <c r="M193" s="1">
        <f t="shared" si="60"/>
        <v>0</v>
      </c>
      <c r="N193" s="1">
        <f t="shared" si="61"/>
        <v>0</v>
      </c>
      <c r="P193">
        <f t="shared" si="62"/>
        <v>0</v>
      </c>
      <c r="Q193" s="1">
        <f t="shared" si="63"/>
        <v>0</v>
      </c>
      <c r="R193">
        <f t="shared" si="64"/>
        <v>0</v>
      </c>
      <c r="S193">
        <f t="shared" si="65"/>
        <v>0</v>
      </c>
      <c r="T193">
        <f t="shared" si="66"/>
        <v>0</v>
      </c>
      <c r="U193">
        <f t="shared" si="67"/>
        <v>0</v>
      </c>
      <c r="V193">
        <f t="shared" si="68"/>
        <v>0</v>
      </c>
      <c r="W193">
        <f t="shared" si="69"/>
        <v>0</v>
      </c>
      <c r="X193">
        <f t="shared" si="70"/>
        <v>0</v>
      </c>
      <c r="Y193">
        <f t="shared" si="73"/>
        <v>0</v>
      </c>
      <c r="Z193">
        <f t="shared" si="74"/>
        <v>0</v>
      </c>
    </row>
    <row r="194" spans="1:26" x14ac:dyDescent="0.25">
      <c r="A194" t="str">
        <f t="shared" ref="A194:A219" si="75">LOOKUP(C194, lkpExt, lkpCat)</f>
        <v>Web</v>
      </c>
      <c r="B194" t="str">
        <f t="shared" ref="B194:B257" si="76">LOOKUP(C194,lkpExt,lkpDesc)</f>
        <v>Access Control File</v>
      </c>
      <c r="C194" t="s">
        <v>367</v>
      </c>
      <c r="D194" s="1">
        <f t="shared" ref="D194:D257" si="77">SUMIF(Exts, C194,Bytes)</f>
        <v>0</v>
      </c>
      <c r="E194" s="1">
        <f t="shared" ref="E194:E257" si="78">IF(P194&gt;0,D194/P194,0)</f>
        <v>0</v>
      </c>
      <c r="F194" s="1">
        <f t="shared" ref="F194:F219" si="79">D194/1024/1024</f>
        <v>0</v>
      </c>
      <c r="H194" s="1">
        <f t="shared" ref="H194:H219" si="80">SUMIFS(Bytes,Exts, C194,Age,0)/1024/1024</f>
        <v>0</v>
      </c>
      <c r="I194" s="1">
        <f t="shared" ref="I194:I219" si="81">SUMIFS(Bytes,Exts, C194,Age,1)/1024/1024</f>
        <v>0</v>
      </c>
      <c r="J194" s="1">
        <f t="shared" ref="J194:J219" si="82">SUMIFS(Bytes,Exts, C194,Age,2)/1024/1024</f>
        <v>0</v>
      </c>
      <c r="K194" s="1">
        <f t="shared" ref="K194:K219" si="83">SUMIFS(Bytes,Exts, C194,Age,3)/1024/1024</f>
        <v>0</v>
      </c>
      <c r="L194" s="1">
        <f t="shared" ref="L194:L219" si="84">SUMIFS(Bytes,Exts, C194,Age,4)/1024/1024</f>
        <v>0</v>
      </c>
      <c r="M194" s="1">
        <f t="shared" ref="M194:M219" si="85">SUMIFS(Bytes,Exts, C194,Age,"&lt;5")/1024/1024</f>
        <v>0</v>
      </c>
      <c r="N194" s="1">
        <f t="shared" ref="N194:N219" si="86">SUMIFS(Bytes,Exts, C194,Age,"&gt;=5")/1024/1024</f>
        <v>0</v>
      </c>
      <c r="P194">
        <f t="shared" ref="P194:P219" si="87">COUNTIF(Exts, C194)</f>
        <v>0</v>
      </c>
      <c r="Q194" s="1">
        <f t="shared" ref="Q194:Q219" si="88">COUNTIFS(Exts,C194,Age,0)</f>
        <v>0</v>
      </c>
      <c r="R194">
        <f t="shared" ref="R194:R219" si="89">COUNTIFS(Exts,C194,Age,1)</f>
        <v>0</v>
      </c>
      <c r="S194">
        <f t="shared" ref="S194:S219" si="90">COUNTIFS(Exts,C194,Age,2)</f>
        <v>0</v>
      </c>
      <c r="T194">
        <f t="shared" ref="T194:T219" si="91">COUNTIFS(Exts,C194,Age,3)</f>
        <v>0</v>
      </c>
      <c r="U194">
        <f t="shared" ref="U194:U219" si="92">COUNTIFS(Exts,C194,Age,4)</f>
        <v>0</v>
      </c>
      <c r="V194">
        <f t="shared" ref="V194:V219" si="93">COUNTIFS(Exts,C194,Age,"&lt;5")</f>
        <v>0</v>
      </c>
      <c r="W194">
        <f t="shared" ref="W194:W219" si="94">COUNTIFS(Exts,C194,Age,"&gt;=5")</f>
        <v>0</v>
      </c>
      <c r="X194">
        <f t="shared" ref="X194:X219" si="95">COUNTIFS(Exts,C194,Age,"&gt;=10")</f>
        <v>0</v>
      </c>
      <c r="Y194">
        <f t="shared" si="73"/>
        <v>0</v>
      </c>
      <c r="Z194">
        <f t="shared" si="74"/>
        <v>0</v>
      </c>
    </row>
    <row r="195" spans="1:26" x14ac:dyDescent="0.25">
      <c r="A195" t="str">
        <f t="shared" si="75"/>
        <v>Web</v>
      </c>
      <c r="B195" t="str">
        <f t="shared" si="76"/>
        <v>HTML</v>
      </c>
      <c r="C195" t="s">
        <v>145</v>
      </c>
      <c r="D195" s="1">
        <f t="shared" si="77"/>
        <v>0</v>
      </c>
      <c r="E195" s="1">
        <f t="shared" si="78"/>
        <v>0</v>
      </c>
      <c r="F195" s="1">
        <f t="shared" si="79"/>
        <v>0</v>
      </c>
      <c r="H195" s="1">
        <f t="shared" si="80"/>
        <v>0</v>
      </c>
      <c r="I195" s="1">
        <f t="shared" si="81"/>
        <v>0</v>
      </c>
      <c r="J195" s="1">
        <f t="shared" si="82"/>
        <v>0</v>
      </c>
      <c r="K195" s="1">
        <f t="shared" si="83"/>
        <v>0</v>
      </c>
      <c r="L195" s="1">
        <f t="shared" si="84"/>
        <v>0</v>
      </c>
      <c r="M195" s="1">
        <f t="shared" si="85"/>
        <v>0</v>
      </c>
      <c r="N195" s="1">
        <f t="shared" si="86"/>
        <v>0</v>
      </c>
      <c r="P195">
        <f t="shared" si="87"/>
        <v>0</v>
      </c>
      <c r="Q195" s="1">
        <f t="shared" si="88"/>
        <v>0</v>
      </c>
      <c r="R195">
        <f t="shared" si="89"/>
        <v>0</v>
      </c>
      <c r="S195">
        <f t="shared" si="90"/>
        <v>0</v>
      </c>
      <c r="T195">
        <f t="shared" si="91"/>
        <v>0</v>
      </c>
      <c r="U195">
        <f t="shared" si="92"/>
        <v>0</v>
      </c>
      <c r="V195">
        <f t="shared" si="93"/>
        <v>0</v>
      </c>
      <c r="W195">
        <f t="shared" si="94"/>
        <v>0</v>
      </c>
      <c r="X195">
        <f t="shared" si="95"/>
        <v>0</v>
      </c>
      <c r="Y195">
        <f t="shared" si="73"/>
        <v>0</v>
      </c>
      <c r="Z195">
        <f t="shared" si="74"/>
        <v>0</v>
      </c>
    </row>
    <row r="196" spans="1:26" x14ac:dyDescent="0.25">
      <c r="A196" t="str">
        <f t="shared" si="75"/>
        <v>Web</v>
      </c>
      <c r="B196" t="str">
        <f t="shared" si="76"/>
        <v>HTML</v>
      </c>
      <c r="C196" t="s">
        <v>143</v>
      </c>
      <c r="D196" s="1">
        <f t="shared" si="77"/>
        <v>0</v>
      </c>
      <c r="E196" s="1">
        <f t="shared" si="78"/>
        <v>0</v>
      </c>
      <c r="F196" s="1">
        <f t="shared" si="79"/>
        <v>0</v>
      </c>
      <c r="H196" s="1">
        <f t="shared" si="80"/>
        <v>0</v>
      </c>
      <c r="I196" s="1">
        <f t="shared" si="81"/>
        <v>0</v>
      </c>
      <c r="J196" s="1">
        <f t="shared" si="82"/>
        <v>0</v>
      </c>
      <c r="K196" s="1">
        <f t="shared" si="83"/>
        <v>0</v>
      </c>
      <c r="L196" s="1">
        <f t="shared" si="84"/>
        <v>0</v>
      </c>
      <c r="M196" s="1">
        <f t="shared" si="85"/>
        <v>0</v>
      </c>
      <c r="N196" s="1">
        <f t="shared" si="86"/>
        <v>0</v>
      </c>
      <c r="P196">
        <f t="shared" si="87"/>
        <v>0</v>
      </c>
      <c r="Q196" s="1">
        <f t="shared" si="88"/>
        <v>0</v>
      </c>
      <c r="R196">
        <f t="shared" si="89"/>
        <v>0</v>
      </c>
      <c r="S196">
        <f t="shared" si="90"/>
        <v>0</v>
      </c>
      <c r="T196">
        <f t="shared" si="91"/>
        <v>0</v>
      </c>
      <c r="U196">
        <f t="shared" si="92"/>
        <v>0</v>
      </c>
      <c r="V196">
        <f t="shared" si="93"/>
        <v>0</v>
      </c>
      <c r="W196">
        <f t="shared" si="94"/>
        <v>0</v>
      </c>
      <c r="X196">
        <f t="shared" si="95"/>
        <v>0</v>
      </c>
      <c r="Y196">
        <f t="shared" si="73"/>
        <v>0</v>
      </c>
      <c r="Z196">
        <f t="shared" si="74"/>
        <v>0</v>
      </c>
    </row>
    <row r="197" spans="1:26" x14ac:dyDescent="0.25">
      <c r="A197" t="str">
        <f t="shared" si="75"/>
        <v>Web</v>
      </c>
      <c r="B197" t="str">
        <f t="shared" si="76"/>
        <v>HTML Extension (used with IDC)</v>
      </c>
      <c r="C197" t="s">
        <v>248</v>
      </c>
      <c r="D197" s="1">
        <f t="shared" si="77"/>
        <v>0</v>
      </c>
      <c r="E197" s="1">
        <f t="shared" si="78"/>
        <v>0</v>
      </c>
      <c r="F197" s="1">
        <f t="shared" si="79"/>
        <v>0</v>
      </c>
      <c r="H197" s="1">
        <f t="shared" si="80"/>
        <v>0</v>
      </c>
      <c r="I197" s="1">
        <f t="shared" si="81"/>
        <v>0</v>
      </c>
      <c r="J197" s="1">
        <f t="shared" si="82"/>
        <v>0</v>
      </c>
      <c r="K197" s="1">
        <f t="shared" si="83"/>
        <v>0</v>
      </c>
      <c r="L197" s="1">
        <f t="shared" si="84"/>
        <v>0</v>
      </c>
      <c r="M197" s="1">
        <f t="shared" si="85"/>
        <v>0</v>
      </c>
      <c r="N197" s="1">
        <f t="shared" si="86"/>
        <v>0</v>
      </c>
      <c r="P197">
        <f t="shared" si="87"/>
        <v>0</v>
      </c>
      <c r="Q197" s="1">
        <f t="shared" si="88"/>
        <v>0</v>
      </c>
      <c r="R197">
        <f t="shared" si="89"/>
        <v>0</v>
      </c>
      <c r="S197">
        <f t="shared" si="90"/>
        <v>0</v>
      </c>
      <c r="T197">
        <f t="shared" si="91"/>
        <v>0</v>
      </c>
      <c r="U197">
        <f t="shared" si="92"/>
        <v>0</v>
      </c>
      <c r="V197">
        <f t="shared" si="93"/>
        <v>0</v>
      </c>
      <c r="W197">
        <f t="shared" si="94"/>
        <v>0</v>
      </c>
      <c r="X197">
        <f t="shared" si="95"/>
        <v>0</v>
      </c>
      <c r="Y197">
        <f t="shared" si="73"/>
        <v>0</v>
      </c>
      <c r="Z197">
        <f t="shared" si="74"/>
        <v>0</v>
      </c>
    </row>
    <row r="198" spans="1:26" x14ac:dyDescent="0.25">
      <c r="A198" t="str">
        <f t="shared" si="75"/>
        <v>Web</v>
      </c>
      <c r="B198" t="str">
        <f t="shared" si="76"/>
        <v>Internet Database Connector</v>
      </c>
      <c r="C198" t="s">
        <v>386</v>
      </c>
      <c r="D198" s="1">
        <f t="shared" si="77"/>
        <v>0</v>
      </c>
      <c r="E198" s="1">
        <f t="shared" si="78"/>
        <v>0</v>
      </c>
      <c r="F198" s="1">
        <f t="shared" si="79"/>
        <v>0</v>
      </c>
      <c r="H198" s="1">
        <f t="shared" si="80"/>
        <v>0</v>
      </c>
      <c r="I198" s="1">
        <f t="shared" si="81"/>
        <v>0</v>
      </c>
      <c r="J198" s="1">
        <f t="shared" si="82"/>
        <v>0</v>
      </c>
      <c r="K198" s="1">
        <f t="shared" si="83"/>
        <v>0</v>
      </c>
      <c r="L198" s="1">
        <f t="shared" si="84"/>
        <v>0</v>
      </c>
      <c r="M198" s="1">
        <f t="shared" si="85"/>
        <v>0</v>
      </c>
      <c r="N198" s="1">
        <f t="shared" si="86"/>
        <v>0</v>
      </c>
      <c r="P198">
        <f t="shared" si="87"/>
        <v>0</v>
      </c>
      <c r="Q198" s="1">
        <f t="shared" si="88"/>
        <v>0</v>
      </c>
      <c r="R198">
        <f t="shared" si="89"/>
        <v>0</v>
      </c>
      <c r="S198">
        <f t="shared" si="90"/>
        <v>0</v>
      </c>
      <c r="T198">
        <f t="shared" si="91"/>
        <v>0</v>
      </c>
      <c r="U198">
        <f t="shared" si="92"/>
        <v>0</v>
      </c>
      <c r="V198">
        <f t="shared" si="93"/>
        <v>0</v>
      </c>
      <c r="W198">
        <f t="shared" si="94"/>
        <v>0</v>
      </c>
      <c r="X198">
        <f t="shared" si="95"/>
        <v>0</v>
      </c>
      <c r="Y198">
        <f t="shared" si="73"/>
        <v>0</v>
      </c>
      <c r="Z198">
        <f t="shared" si="74"/>
        <v>0</v>
      </c>
    </row>
    <row r="199" spans="1:26" x14ac:dyDescent="0.25">
      <c r="A199" t="str">
        <f t="shared" si="75"/>
        <v>Web</v>
      </c>
      <c r="B199" t="str">
        <f t="shared" si="76"/>
        <v>Internet Data Query</v>
      </c>
      <c r="C199" t="s">
        <v>241</v>
      </c>
      <c r="D199" s="1">
        <f t="shared" si="77"/>
        <v>0</v>
      </c>
      <c r="E199" s="1">
        <f t="shared" si="78"/>
        <v>0</v>
      </c>
      <c r="F199" s="1">
        <f t="shared" si="79"/>
        <v>0</v>
      </c>
      <c r="H199" s="1">
        <f t="shared" si="80"/>
        <v>0</v>
      </c>
      <c r="I199" s="1">
        <f t="shared" si="81"/>
        <v>0</v>
      </c>
      <c r="J199" s="1">
        <f t="shared" si="82"/>
        <v>0</v>
      </c>
      <c r="K199" s="1">
        <f t="shared" si="83"/>
        <v>0</v>
      </c>
      <c r="L199" s="1">
        <f t="shared" si="84"/>
        <v>0</v>
      </c>
      <c r="M199" s="1">
        <f t="shared" si="85"/>
        <v>0</v>
      </c>
      <c r="N199" s="1">
        <f t="shared" si="86"/>
        <v>0</v>
      </c>
      <c r="P199">
        <f t="shared" si="87"/>
        <v>0</v>
      </c>
      <c r="Q199" s="1">
        <f t="shared" si="88"/>
        <v>0</v>
      </c>
      <c r="R199">
        <f t="shared" si="89"/>
        <v>0</v>
      </c>
      <c r="S199">
        <f t="shared" si="90"/>
        <v>0</v>
      </c>
      <c r="T199">
        <f t="shared" si="91"/>
        <v>0</v>
      </c>
      <c r="U199">
        <f t="shared" si="92"/>
        <v>0</v>
      </c>
      <c r="V199">
        <f t="shared" si="93"/>
        <v>0</v>
      </c>
      <c r="W199">
        <f t="shared" si="94"/>
        <v>0</v>
      </c>
      <c r="X199">
        <f t="shared" si="95"/>
        <v>0</v>
      </c>
      <c r="Y199">
        <f t="shared" ref="Y199:Y219" si="96">COUNTIFS(Exts,C199,Age,"&gt;=15")</f>
        <v>0</v>
      </c>
      <c r="Z199">
        <f t="shared" ref="Z199:Z219" si="97">COUNTIFS(Exts,C199,Age,"&gt;=20")</f>
        <v>0</v>
      </c>
    </row>
    <row r="200" spans="1:26" x14ac:dyDescent="0.25">
      <c r="A200" t="str">
        <f t="shared" si="75"/>
        <v>Web</v>
      </c>
      <c r="B200" t="str">
        <f t="shared" si="76"/>
        <v>PHP Include File</v>
      </c>
      <c r="C200" t="s">
        <v>175</v>
      </c>
      <c r="D200" s="1">
        <f t="shared" si="77"/>
        <v>0</v>
      </c>
      <c r="E200" s="1">
        <f t="shared" si="78"/>
        <v>0</v>
      </c>
      <c r="F200" s="1">
        <f t="shared" si="79"/>
        <v>0</v>
      </c>
      <c r="H200" s="1">
        <f t="shared" si="80"/>
        <v>0</v>
      </c>
      <c r="I200" s="1">
        <f t="shared" si="81"/>
        <v>0</v>
      </c>
      <c r="J200" s="1">
        <f t="shared" si="82"/>
        <v>0</v>
      </c>
      <c r="K200" s="1">
        <f t="shared" si="83"/>
        <v>0</v>
      </c>
      <c r="L200" s="1">
        <f t="shared" si="84"/>
        <v>0</v>
      </c>
      <c r="M200" s="1">
        <f t="shared" si="85"/>
        <v>0</v>
      </c>
      <c r="N200" s="1">
        <f t="shared" si="86"/>
        <v>0</v>
      </c>
      <c r="P200">
        <f t="shared" si="87"/>
        <v>0</v>
      </c>
      <c r="Q200" s="1">
        <f t="shared" si="88"/>
        <v>0</v>
      </c>
      <c r="R200">
        <f t="shared" si="89"/>
        <v>0</v>
      </c>
      <c r="S200">
        <f t="shared" si="90"/>
        <v>0</v>
      </c>
      <c r="T200">
        <f t="shared" si="91"/>
        <v>0</v>
      </c>
      <c r="U200">
        <f t="shared" si="92"/>
        <v>0</v>
      </c>
      <c r="V200">
        <f t="shared" si="93"/>
        <v>0</v>
      </c>
      <c r="W200">
        <f t="shared" si="94"/>
        <v>0</v>
      </c>
      <c r="X200">
        <f t="shared" si="95"/>
        <v>0</v>
      </c>
      <c r="Y200">
        <f t="shared" si="96"/>
        <v>0</v>
      </c>
      <c r="Z200">
        <f t="shared" si="97"/>
        <v>0</v>
      </c>
    </row>
    <row r="201" spans="1:26" x14ac:dyDescent="0.25">
      <c r="A201" t="str">
        <f t="shared" si="75"/>
        <v>Web</v>
      </c>
      <c r="B201" t="str">
        <f t="shared" si="76"/>
        <v>JavaScript</v>
      </c>
      <c r="C201" t="s">
        <v>135</v>
      </c>
      <c r="D201" s="1">
        <f t="shared" si="77"/>
        <v>0</v>
      </c>
      <c r="E201" s="1">
        <f t="shared" si="78"/>
        <v>0</v>
      </c>
      <c r="F201" s="1">
        <f t="shared" si="79"/>
        <v>0</v>
      </c>
      <c r="H201" s="1">
        <f t="shared" si="80"/>
        <v>0</v>
      </c>
      <c r="I201" s="1">
        <f t="shared" si="81"/>
        <v>0</v>
      </c>
      <c r="J201" s="1">
        <f t="shared" si="82"/>
        <v>0</v>
      </c>
      <c r="K201" s="1">
        <f t="shared" si="83"/>
        <v>0</v>
      </c>
      <c r="L201" s="1">
        <f t="shared" si="84"/>
        <v>0</v>
      </c>
      <c r="M201" s="1">
        <f t="shared" si="85"/>
        <v>0</v>
      </c>
      <c r="N201" s="1">
        <f t="shared" si="86"/>
        <v>0</v>
      </c>
      <c r="P201">
        <f t="shared" si="87"/>
        <v>0</v>
      </c>
      <c r="Q201" s="1">
        <f t="shared" si="88"/>
        <v>0</v>
      </c>
      <c r="R201">
        <f t="shared" si="89"/>
        <v>0</v>
      </c>
      <c r="S201">
        <f t="shared" si="90"/>
        <v>0</v>
      </c>
      <c r="T201">
        <f t="shared" si="91"/>
        <v>0</v>
      </c>
      <c r="U201">
        <f t="shared" si="92"/>
        <v>0</v>
      </c>
      <c r="V201">
        <f t="shared" si="93"/>
        <v>0</v>
      </c>
      <c r="W201">
        <f t="shared" si="94"/>
        <v>0</v>
      </c>
      <c r="X201">
        <f t="shared" si="95"/>
        <v>0</v>
      </c>
      <c r="Y201">
        <f t="shared" si="96"/>
        <v>0</v>
      </c>
      <c r="Z201">
        <f t="shared" si="97"/>
        <v>0</v>
      </c>
    </row>
    <row r="202" spans="1:26" x14ac:dyDescent="0.25">
      <c r="A202" t="str">
        <f t="shared" si="75"/>
        <v>Web</v>
      </c>
      <c r="B202" t="str">
        <f t="shared" si="76"/>
        <v>JavsScript Command</v>
      </c>
      <c r="C202" t="s">
        <v>204</v>
      </c>
      <c r="D202" s="1">
        <f t="shared" si="77"/>
        <v>0</v>
      </c>
      <c r="E202" s="1">
        <f t="shared" si="78"/>
        <v>0</v>
      </c>
      <c r="F202" s="1">
        <f t="shared" si="79"/>
        <v>0</v>
      </c>
      <c r="H202" s="1">
        <f t="shared" si="80"/>
        <v>0</v>
      </c>
      <c r="I202" s="1">
        <f t="shared" si="81"/>
        <v>0</v>
      </c>
      <c r="J202" s="1">
        <f t="shared" si="82"/>
        <v>0</v>
      </c>
      <c r="K202" s="1">
        <f t="shared" si="83"/>
        <v>0</v>
      </c>
      <c r="L202" s="1">
        <f t="shared" si="84"/>
        <v>0</v>
      </c>
      <c r="M202" s="1">
        <f t="shared" si="85"/>
        <v>0</v>
      </c>
      <c r="N202" s="1">
        <f t="shared" si="86"/>
        <v>0</v>
      </c>
      <c r="P202">
        <f t="shared" si="87"/>
        <v>0</v>
      </c>
      <c r="Q202" s="1">
        <f t="shared" si="88"/>
        <v>0</v>
      </c>
      <c r="R202">
        <f t="shared" si="89"/>
        <v>0</v>
      </c>
      <c r="S202">
        <f t="shared" si="90"/>
        <v>0</v>
      </c>
      <c r="T202">
        <f t="shared" si="91"/>
        <v>0</v>
      </c>
      <c r="U202">
        <f t="shared" si="92"/>
        <v>0</v>
      </c>
      <c r="V202">
        <f t="shared" si="93"/>
        <v>0</v>
      </c>
      <c r="W202">
        <f t="shared" si="94"/>
        <v>0</v>
      </c>
      <c r="X202">
        <f t="shared" si="95"/>
        <v>0</v>
      </c>
      <c r="Y202">
        <f t="shared" si="96"/>
        <v>0</v>
      </c>
      <c r="Z202">
        <f t="shared" si="97"/>
        <v>0</v>
      </c>
    </row>
    <row r="203" spans="1:26" x14ac:dyDescent="0.25">
      <c r="A203" t="str">
        <f t="shared" si="75"/>
        <v>Web</v>
      </c>
      <c r="B203" t="str">
        <f t="shared" si="76"/>
        <v>Java Server Pages</v>
      </c>
      <c r="C203" t="s">
        <v>283</v>
      </c>
      <c r="D203" s="1">
        <f t="shared" si="77"/>
        <v>0</v>
      </c>
      <c r="E203" s="1">
        <f t="shared" si="78"/>
        <v>0</v>
      </c>
      <c r="F203" s="1">
        <f t="shared" si="79"/>
        <v>0</v>
      </c>
      <c r="H203" s="1">
        <f t="shared" si="80"/>
        <v>0</v>
      </c>
      <c r="I203" s="1">
        <f t="shared" si="81"/>
        <v>0</v>
      </c>
      <c r="J203" s="1">
        <f t="shared" si="82"/>
        <v>0</v>
      </c>
      <c r="K203" s="1">
        <f t="shared" si="83"/>
        <v>0</v>
      </c>
      <c r="L203" s="1">
        <f t="shared" si="84"/>
        <v>0</v>
      </c>
      <c r="M203" s="1">
        <f t="shared" si="85"/>
        <v>0</v>
      </c>
      <c r="N203" s="1">
        <f t="shared" si="86"/>
        <v>0</v>
      </c>
      <c r="P203">
        <f t="shared" si="87"/>
        <v>0</v>
      </c>
      <c r="Q203" s="1">
        <f t="shared" si="88"/>
        <v>0</v>
      </c>
      <c r="R203">
        <f t="shared" si="89"/>
        <v>0</v>
      </c>
      <c r="S203">
        <f t="shared" si="90"/>
        <v>0</v>
      </c>
      <c r="T203">
        <f t="shared" si="91"/>
        <v>0</v>
      </c>
      <c r="U203">
        <f t="shared" si="92"/>
        <v>0</v>
      </c>
      <c r="V203">
        <f t="shared" si="93"/>
        <v>0</v>
      </c>
      <c r="W203">
        <f t="shared" si="94"/>
        <v>0</v>
      </c>
      <c r="X203">
        <f t="shared" si="95"/>
        <v>0</v>
      </c>
      <c r="Y203">
        <f t="shared" si="96"/>
        <v>0</v>
      </c>
      <c r="Z203">
        <f t="shared" si="97"/>
        <v>0</v>
      </c>
    </row>
    <row r="204" spans="1:26" x14ac:dyDescent="0.25">
      <c r="A204" t="str">
        <f t="shared" si="75"/>
        <v>Web</v>
      </c>
      <c r="B204" t="str">
        <f t="shared" si="76"/>
        <v>Markdown Text</v>
      </c>
      <c r="C204" t="s">
        <v>355</v>
      </c>
      <c r="D204" s="1">
        <f t="shared" si="77"/>
        <v>0</v>
      </c>
      <c r="E204" s="1">
        <f t="shared" si="78"/>
        <v>0</v>
      </c>
      <c r="F204" s="1">
        <f t="shared" si="79"/>
        <v>0</v>
      </c>
      <c r="H204" s="1">
        <f t="shared" si="80"/>
        <v>0</v>
      </c>
      <c r="I204" s="1">
        <f t="shared" si="81"/>
        <v>0</v>
      </c>
      <c r="J204" s="1">
        <f t="shared" si="82"/>
        <v>0</v>
      </c>
      <c r="K204" s="1">
        <f t="shared" si="83"/>
        <v>0</v>
      </c>
      <c r="L204" s="1">
        <f t="shared" si="84"/>
        <v>0</v>
      </c>
      <c r="M204" s="1">
        <f t="shared" si="85"/>
        <v>0</v>
      </c>
      <c r="N204" s="1">
        <f t="shared" si="86"/>
        <v>0</v>
      </c>
      <c r="P204">
        <f t="shared" si="87"/>
        <v>0</v>
      </c>
      <c r="Q204" s="1">
        <f t="shared" si="88"/>
        <v>0</v>
      </c>
      <c r="R204">
        <f t="shared" si="89"/>
        <v>0</v>
      </c>
      <c r="S204">
        <f t="shared" si="90"/>
        <v>0</v>
      </c>
      <c r="T204">
        <f t="shared" si="91"/>
        <v>0</v>
      </c>
      <c r="U204">
        <f t="shared" si="92"/>
        <v>0</v>
      </c>
      <c r="V204">
        <f t="shared" si="93"/>
        <v>0</v>
      </c>
      <c r="W204">
        <f t="shared" si="94"/>
        <v>0</v>
      </c>
      <c r="X204">
        <f t="shared" si="95"/>
        <v>0</v>
      </c>
      <c r="Y204">
        <f t="shared" si="96"/>
        <v>0</v>
      </c>
      <c r="Z204">
        <f t="shared" si="97"/>
        <v>0</v>
      </c>
    </row>
    <row r="205" spans="1:26" x14ac:dyDescent="0.25">
      <c r="A205" t="str">
        <f t="shared" si="75"/>
        <v>Web</v>
      </c>
      <c r="B205" t="str">
        <f t="shared" si="76"/>
        <v>.NET Master Page</v>
      </c>
      <c r="C205" t="s">
        <v>195</v>
      </c>
      <c r="D205" s="1">
        <f t="shared" si="77"/>
        <v>0</v>
      </c>
      <c r="E205" s="1">
        <f t="shared" si="78"/>
        <v>0</v>
      </c>
      <c r="F205" s="1">
        <f t="shared" si="79"/>
        <v>0</v>
      </c>
      <c r="H205" s="1">
        <f t="shared" si="80"/>
        <v>0</v>
      </c>
      <c r="I205" s="1">
        <f t="shared" si="81"/>
        <v>0</v>
      </c>
      <c r="J205" s="1">
        <f t="shared" si="82"/>
        <v>0</v>
      </c>
      <c r="K205" s="1">
        <f t="shared" si="83"/>
        <v>0</v>
      </c>
      <c r="L205" s="1">
        <f t="shared" si="84"/>
        <v>0</v>
      </c>
      <c r="M205" s="1">
        <f t="shared" si="85"/>
        <v>0</v>
      </c>
      <c r="N205" s="1">
        <f t="shared" si="86"/>
        <v>0</v>
      </c>
      <c r="P205">
        <f t="shared" si="87"/>
        <v>0</v>
      </c>
      <c r="Q205" s="1">
        <f t="shared" si="88"/>
        <v>0</v>
      </c>
      <c r="R205">
        <f t="shared" si="89"/>
        <v>0</v>
      </c>
      <c r="S205">
        <f t="shared" si="90"/>
        <v>0</v>
      </c>
      <c r="T205">
        <f t="shared" si="91"/>
        <v>0</v>
      </c>
      <c r="U205">
        <f t="shared" si="92"/>
        <v>0</v>
      </c>
      <c r="V205">
        <f t="shared" si="93"/>
        <v>0</v>
      </c>
      <c r="W205">
        <f t="shared" si="94"/>
        <v>0</v>
      </c>
      <c r="X205">
        <f t="shared" si="95"/>
        <v>0</v>
      </c>
      <c r="Y205">
        <f t="shared" si="96"/>
        <v>0</v>
      </c>
      <c r="Z205">
        <f t="shared" si="97"/>
        <v>0</v>
      </c>
    </row>
    <row r="206" spans="1:26" x14ac:dyDescent="0.25">
      <c r="A206" t="str">
        <f t="shared" si="75"/>
        <v>Web</v>
      </c>
      <c r="B206" t="str">
        <f t="shared" si="76"/>
        <v>Markdown Text</v>
      </c>
      <c r="C206" t="s">
        <v>137</v>
      </c>
      <c r="D206" s="1">
        <f t="shared" si="77"/>
        <v>0</v>
      </c>
      <c r="E206" s="1">
        <f t="shared" si="78"/>
        <v>0</v>
      </c>
      <c r="F206" s="1">
        <f t="shared" si="79"/>
        <v>0</v>
      </c>
      <c r="H206" s="1">
        <f t="shared" si="80"/>
        <v>0</v>
      </c>
      <c r="I206" s="1">
        <f t="shared" si="81"/>
        <v>0</v>
      </c>
      <c r="J206" s="1">
        <f t="shared" si="82"/>
        <v>0</v>
      </c>
      <c r="K206" s="1">
        <f t="shared" si="83"/>
        <v>0</v>
      </c>
      <c r="L206" s="1">
        <f t="shared" si="84"/>
        <v>0</v>
      </c>
      <c r="M206" s="1">
        <f t="shared" si="85"/>
        <v>0</v>
      </c>
      <c r="N206" s="1">
        <f t="shared" si="86"/>
        <v>0</v>
      </c>
      <c r="P206">
        <f t="shared" si="87"/>
        <v>0</v>
      </c>
      <c r="Q206" s="1">
        <f t="shared" si="88"/>
        <v>0</v>
      </c>
      <c r="R206">
        <f t="shared" si="89"/>
        <v>0</v>
      </c>
      <c r="S206">
        <f t="shared" si="90"/>
        <v>0</v>
      </c>
      <c r="T206">
        <f t="shared" si="91"/>
        <v>0</v>
      </c>
      <c r="U206">
        <f t="shared" si="92"/>
        <v>0</v>
      </c>
      <c r="V206">
        <f t="shared" si="93"/>
        <v>0</v>
      </c>
      <c r="W206">
        <f t="shared" si="94"/>
        <v>0</v>
      </c>
      <c r="X206">
        <f t="shared" si="95"/>
        <v>0</v>
      </c>
      <c r="Y206">
        <f t="shared" si="96"/>
        <v>0</v>
      </c>
      <c r="Z206">
        <f t="shared" si="97"/>
        <v>0</v>
      </c>
    </row>
    <row r="207" spans="1:26" x14ac:dyDescent="0.25">
      <c r="A207" t="str">
        <f t="shared" si="75"/>
        <v>Web</v>
      </c>
      <c r="B207" t="str">
        <f t="shared" si="76"/>
        <v>MIME/HTML Archive</v>
      </c>
      <c r="C207" t="s">
        <v>191</v>
      </c>
      <c r="D207" s="1">
        <f t="shared" si="77"/>
        <v>0</v>
      </c>
      <c r="E207" s="1">
        <f t="shared" si="78"/>
        <v>0</v>
      </c>
      <c r="F207" s="1">
        <f t="shared" si="79"/>
        <v>0</v>
      </c>
      <c r="H207" s="1">
        <f t="shared" si="80"/>
        <v>0</v>
      </c>
      <c r="I207" s="1">
        <f t="shared" si="81"/>
        <v>0</v>
      </c>
      <c r="J207" s="1">
        <f t="shared" si="82"/>
        <v>0</v>
      </c>
      <c r="K207" s="1">
        <f t="shared" si="83"/>
        <v>0</v>
      </c>
      <c r="L207" s="1">
        <f t="shared" si="84"/>
        <v>0</v>
      </c>
      <c r="M207" s="1">
        <f t="shared" si="85"/>
        <v>0</v>
      </c>
      <c r="N207" s="1">
        <f t="shared" si="86"/>
        <v>0</v>
      </c>
      <c r="P207">
        <f t="shared" si="87"/>
        <v>0</v>
      </c>
      <c r="Q207" s="1">
        <f t="shared" si="88"/>
        <v>0</v>
      </c>
      <c r="R207">
        <f t="shared" si="89"/>
        <v>0</v>
      </c>
      <c r="S207">
        <f t="shared" si="90"/>
        <v>0</v>
      </c>
      <c r="T207">
        <f t="shared" si="91"/>
        <v>0</v>
      </c>
      <c r="U207">
        <f t="shared" si="92"/>
        <v>0</v>
      </c>
      <c r="V207">
        <f t="shared" si="93"/>
        <v>0</v>
      </c>
      <c r="W207">
        <f t="shared" si="94"/>
        <v>0</v>
      </c>
      <c r="X207">
        <f t="shared" si="95"/>
        <v>0</v>
      </c>
      <c r="Y207">
        <f t="shared" si="96"/>
        <v>0</v>
      </c>
      <c r="Z207">
        <f t="shared" si="97"/>
        <v>0</v>
      </c>
    </row>
    <row r="208" spans="1:26" x14ac:dyDescent="0.25">
      <c r="A208" t="str">
        <f t="shared" si="75"/>
        <v>Web</v>
      </c>
      <c r="B208" t="str">
        <f t="shared" si="76"/>
        <v>MIME/HTML Archive</v>
      </c>
      <c r="C208" t="s">
        <v>337</v>
      </c>
      <c r="D208" s="1">
        <f t="shared" si="77"/>
        <v>0</v>
      </c>
      <c r="E208" s="1">
        <f t="shared" si="78"/>
        <v>0</v>
      </c>
      <c r="F208" s="1">
        <f t="shared" si="79"/>
        <v>0</v>
      </c>
      <c r="H208" s="1">
        <f t="shared" si="80"/>
        <v>0</v>
      </c>
      <c r="I208" s="1">
        <f t="shared" si="81"/>
        <v>0</v>
      </c>
      <c r="J208" s="1">
        <f t="shared" si="82"/>
        <v>0</v>
      </c>
      <c r="K208" s="1">
        <f t="shared" si="83"/>
        <v>0</v>
      </c>
      <c r="L208" s="1">
        <f t="shared" si="84"/>
        <v>0</v>
      </c>
      <c r="M208" s="1">
        <f t="shared" si="85"/>
        <v>0</v>
      </c>
      <c r="N208" s="1">
        <f t="shared" si="86"/>
        <v>0</v>
      </c>
      <c r="P208">
        <f t="shared" si="87"/>
        <v>0</v>
      </c>
      <c r="Q208" s="1">
        <f t="shared" si="88"/>
        <v>0</v>
      </c>
      <c r="R208">
        <f t="shared" si="89"/>
        <v>0</v>
      </c>
      <c r="S208">
        <f t="shared" si="90"/>
        <v>0</v>
      </c>
      <c r="T208">
        <f t="shared" si="91"/>
        <v>0</v>
      </c>
      <c r="U208">
        <f t="shared" si="92"/>
        <v>0</v>
      </c>
      <c r="V208">
        <f t="shared" si="93"/>
        <v>0</v>
      </c>
      <c r="W208">
        <f t="shared" si="94"/>
        <v>0</v>
      </c>
      <c r="X208">
        <f t="shared" si="95"/>
        <v>0</v>
      </c>
      <c r="Y208">
        <f t="shared" si="96"/>
        <v>0</v>
      </c>
      <c r="Z208">
        <f t="shared" si="97"/>
        <v>0</v>
      </c>
    </row>
    <row r="209" spans="1:26" x14ac:dyDescent="0.25">
      <c r="A209" t="str">
        <f t="shared" si="75"/>
        <v>Web</v>
      </c>
      <c r="B209" t="str">
        <f t="shared" si="76"/>
        <v>MIME/HTML Archive</v>
      </c>
      <c r="C209" t="s">
        <v>281</v>
      </c>
      <c r="D209" s="1">
        <f t="shared" si="77"/>
        <v>0</v>
      </c>
      <c r="E209" s="1">
        <f t="shared" si="78"/>
        <v>0</v>
      </c>
      <c r="F209" s="1">
        <f t="shared" si="79"/>
        <v>0</v>
      </c>
      <c r="H209" s="1">
        <f t="shared" si="80"/>
        <v>0</v>
      </c>
      <c r="I209" s="1">
        <f t="shared" si="81"/>
        <v>0</v>
      </c>
      <c r="J209" s="1">
        <f t="shared" si="82"/>
        <v>0</v>
      </c>
      <c r="K209" s="1">
        <f t="shared" si="83"/>
        <v>0</v>
      </c>
      <c r="L209" s="1">
        <f t="shared" si="84"/>
        <v>0</v>
      </c>
      <c r="M209" s="1">
        <f t="shared" si="85"/>
        <v>0</v>
      </c>
      <c r="N209" s="1">
        <f t="shared" si="86"/>
        <v>0</v>
      </c>
      <c r="P209">
        <f t="shared" si="87"/>
        <v>0</v>
      </c>
      <c r="Q209" s="1">
        <f t="shared" si="88"/>
        <v>0</v>
      </c>
      <c r="R209">
        <f t="shared" si="89"/>
        <v>0</v>
      </c>
      <c r="S209">
        <f t="shared" si="90"/>
        <v>0</v>
      </c>
      <c r="T209">
        <f t="shared" si="91"/>
        <v>0</v>
      </c>
      <c r="U209">
        <f t="shared" si="92"/>
        <v>0</v>
      </c>
      <c r="V209">
        <f t="shared" si="93"/>
        <v>0</v>
      </c>
      <c r="W209">
        <f t="shared" si="94"/>
        <v>0</v>
      </c>
      <c r="X209">
        <f t="shared" si="95"/>
        <v>0</v>
      </c>
      <c r="Y209">
        <f t="shared" si="96"/>
        <v>0</v>
      </c>
      <c r="Z209">
        <f t="shared" si="97"/>
        <v>0</v>
      </c>
    </row>
    <row r="210" spans="1:26" x14ac:dyDescent="0.25">
      <c r="A210" t="str">
        <f t="shared" si="75"/>
        <v>Web</v>
      </c>
      <c r="B210" t="str">
        <f t="shared" si="76"/>
        <v>Web Crawler Hinting</v>
      </c>
      <c r="C210" t="s">
        <v>369</v>
      </c>
      <c r="D210" s="1">
        <f t="shared" si="77"/>
        <v>0</v>
      </c>
      <c r="E210" s="1">
        <f t="shared" si="78"/>
        <v>0</v>
      </c>
      <c r="F210" s="1">
        <f t="shared" si="79"/>
        <v>0</v>
      </c>
      <c r="H210" s="1">
        <f t="shared" si="80"/>
        <v>0</v>
      </c>
      <c r="I210" s="1">
        <f t="shared" si="81"/>
        <v>0</v>
      </c>
      <c r="J210" s="1">
        <f t="shared" si="82"/>
        <v>0</v>
      </c>
      <c r="K210" s="1">
        <f t="shared" si="83"/>
        <v>0</v>
      </c>
      <c r="L210" s="1">
        <f t="shared" si="84"/>
        <v>0</v>
      </c>
      <c r="M210" s="1">
        <f t="shared" si="85"/>
        <v>0</v>
      </c>
      <c r="N210" s="1">
        <f t="shared" si="86"/>
        <v>0</v>
      </c>
      <c r="P210">
        <f t="shared" si="87"/>
        <v>0</v>
      </c>
      <c r="Q210" s="1">
        <f t="shared" si="88"/>
        <v>0</v>
      </c>
      <c r="R210">
        <f t="shared" si="89"/>
        <v>0</v>
      </c>
      <c r="S210">
        <f t="shared" si="90"/>
        <v>0</v>
      </c>
      <c r="T210">
        <f t="shared" si="91"/>
        <v>0</v>
      </c>
      <c r="U210">
        <f t="shared" si="92"/>
        <v>0</v>
      </c>
      <c r="V210">
        <f t="shared" si="93"/>
        <v>0</v>
      </c>
      <c r="W210">
        <f t="shared" si="94"/>
        <v>0</v>
      </c>
      <c r="X210">
        <f t="shared" si="95"/>
        <v>0</v>
      </c>
      <c r="Y210">
        <f t="shared" si="96"/>
        <v>0</v>
      </c>
      <c r="Z210">
        <f t="shared" si="97"/>
        <v>0</v>
      </c>
    </row>
    <row r="211" spans="1:26" x14ac:dyDescent="0.25">
      <c r="A211" t="str">
        <f t="shared" si="75"/>
        <v>Web</v>
      </c>
      <c r="B211" t="str">
        <f t="shared" si="76"/>
        <v>SHTML</v>
      </c>
      <c r="C211" t="s">
        <v>242</v>
      </c>
      <c r="D211" s="1">
        <f t="shared" si="77"/>
        <v>0</v>
      </c>
      <c r="E211" s="1">
        <f t="shared" si="78"/>
        <v>0</v>
      </c>
      <c r="F211" s="1">
        <f t="shared" si="79"/>
        <v>0</v>
      </c>
      <c r="H211" s="1">
        <f t="shared" si="80"/>
        <v>0</v>
      </c>
      <c r="I211" s="1">
        <f t="shared" si="81"/>
        <v>0</v>
      </c>
      <c r="J211" s="1">
        <f t="shared" si="82"/>
        <v>0</v>
      </c>
      <c r="K211" s="1">
        <f t="shared" si="83"/>
        <v>0</v>
      </c>
      <c r="L211" s="1">
        <f t="shared" si="84"/>
        <v>0</v>
      </c>
      <c r="M211" s="1">
        <f t="shared" si="85"/>
        <v>0</v>
      </c>
      <c r="N211" s="1">
        <f t="shared" si="86"/>
        <v>0</v>
      </c>
      <c r="P211">
        <f t="shared" si="87"/>
        <v>0</v>
      </c>
      <c r="Q211" s="1">
        <f t="shared" si="88"/>
        <v>0</v>
      </c>
      <c r="R211">
        <f t="shared" si="89"/>
        <v>0</v>
      </c>
      <c r="S211">
        <f t="shared" si="90"/>
        <v>0</v>
      </c>
      <c r="T211">
        <f t="shared" si="91"/>
        <v>0</v>
      </c>
      <c r="U211">
        <f t="shared" si="92"/>
        <v>0</v>
      </c>
      <c r="V211">
        <f t="shared" si="93"/>
        <v>0</v>
      </c>
      <c r="W211">
        <f t="shared" si="94"/>
        <v>0</v>
      </c>
      <c r="X211">
        <f t="shared" si="95"/>
        <v>0</v>
      </c>
      <c r="Y211">
        <f t="shared" si="96"/>
        <v>0</v>
      </c>
      <c r="Z211">
        <f t="shared" si="97"/>
        <v>0</v>
      </c>
    </row>
    <row r="212" spans="1:26" x14ac:dyDescent="0.25">
      <c r="A212" t="str">
        <f t="shared" si="75"/>
        <v>Web</v>
      </c>
      <c r="B212" t="str">
        <f t="shared" si="76"/>
        <v>Theme</v>
      </c>
      <c r="C212" t="s">
        <v>219</v>
      </c>
      <c r="D212" s="1">
        <f t="shared" si="77"/>
        <v>0</v>
      </c>
      <c r="E212" s="1">
        <f t="shared" si="78"/>
        <v>0</v>
      </c>
      <c r="F212" s="1">
        <f t="shared" si="79"/>
        <v>0</v>
      </c>
      <c r="H212" s="1">
        <f t="shared" si="80"/>
        <v>0</v>
      </c>
      <c r="I212" s="1">
        <f t="shared" si="81"/>
        <v>0</v>
      </c>
      <c r="J212" s="1">
        <f t="shared" si="82"/>
        <v>0</v>
      </c>
      <c r="K212" s="1">
        <f t="shared" si="83"/>
        <v>0</v>
      </c>
      <c r="L212" s="1">
        <f t="shared" si="84"/>
        <v>0</v>
      </c>
      <c r="M212" s="1">
        <f t="shared" si="85"/>
        <v>0</v>
      </c>
      <c r="N212" s="1">
        <f t="shared" si="86"/>
        <v>0</v>
      </c>
      <c r="P212">
        <f t="shared" si="87"/>
        <v>0</v>
      </c>
      <c r="Q212" s="1">
        <f t="shared" si="88"/>
        <v>0</v>
      </c>
      <c r="R212">
        <f t="shared" si="89"/>
        <v>0</v>
      </c>
      <c r="S212">
        <f t="shared" si="90"/>
        <v>0</v>
      </c>
      <c r="T212">
        <f t="shared" si="91"/>
        <v>0</v>
      </c>
      <c r="U212">
        <f t="shared" si="92"/>
        <v>0</v>
      </c>
      <c r="V212">
        <f t="shared" si="93"/>
        <v>0</v>
      </c>
      <c r="W212">
        <f t="shared" si="94"/>
        <v>0</v>
      </c>
      <c r="X212">
        <f t="shared" si="95"/>
        <v>0</v>
      </c>
      <c r="Y212">
        <f t="shared" si="96"/>
        <v>0</v>
      </c>
      <c r="Z212">
        <f t="shared" si="97"/>
        <v>0</v>
      </c>
    </row>
    <row r="213" spans="1:26" x14ac:dyDescent="0.25">
      <c r="A213" t="str">
        <f t="shared" si="75"/>
        <v>Web</v>
      </c>
      <c r="B213" t="str">
        <f t="shared" si="76"/>
        <v xml:space="preserve">Web Service Discovery </v>
      </c>
      <c r="C213" t="s">
        <v>174</v>
      </c>
      <c r="D213" s="1">
        <f t="shared" si="77"/>
        <v>0</v>
      </c>
      <c r="E213" s="1">
        <f t="shared" si="78"/>
        <v>0</v>
      </c>
      <c r="F213" s="1">
        <f t="shared" si="79"/>
        <v>0</v>
      </c>
      <c r="H213" s="1">
        <f t="shared" si="80"/>
        <v>0</v>
      </c>
      <c r="I213" s="1">
        <f t="shared" si="81"/>
        <v>0</v>
      </c>
      <c r="J213" s="1">
        <f t="shared" si="82"/>
        <v>0</v>
      </c>
      <c r="K213" s="1">
        <f t="shared" si="83"/>
        <v>0</v>
      </c>
      <c r="L213" s="1">
        <f t="shared" si="84"/>
        <v>0</v>
      </c>
      <c r="M213" s="1">
        <f t="shared" si="85"/>
        <v>0</v>
      </c>
      <c r="N213" s="1">
        <f t="shared" si="86"/>
        <v>0</v>
      </c>
      <c r="P213">
        <f t="shared" si="87"/>
        <v>0</v>
      </c>
      <c r="Q213" s="1">
        <f t="shared" si="88"/>
        <v>0</v>
      </c>
      <c r="R213">
        <f t="shared" si="89"/>
        <v>0</v>
      </c>
      <c r="S213">
        <f t="shared" si="90"/>
        <v>0</v>
      </c>
      <c r="T213">
        <f t="shared" si="91"/>
        <v>0</v>
      </c>
      <c r="U213">
        <f t="shared" si="92"/>
        <v>0</v>
      </c>
      <c r="V213">
        <f t="shared" si="93"/>
        <v>0</v>
      </c>
      <c r="W213">
        <f t="shared" si="94"/>
        <v>0</v>
      </c>
      <c r="X213">
        <f t="shared" si="95"/>
        <v>0</v>
      </c>
      <c r="Y213">
        <f t="shared" si="96"/>
        <v>0</v>
      </c>
      <c r="Z213">
        <f t="shared" si="97"/>
        <v>0</v>
      </c>
    </row>
    <row r="214" spans="1:26" x14ac:dyDescent="0.25">
      <c r="A214" t="str">
        <f t="shared" si="75"/>
        <v>Web</v>
      </c>
      <c r="B214" t="str">
        <f t="shared" si="76"/>
        <v>XHTML</v>
      </c>
      <c r="C214" t="s">
        <v>280</v>
      </c>
      <c r="D214" s="1">
        <f t="shared" si="77"/>
        <v>0</v>
      </c>
      <c r="E214" s="1">
        <f t="shared" si="78"/>
        <v>0</v>
      </c>
      <c r="F214" s="1">
        <f t="shared" si="79"/>
        <v>0</v>
      </c>
      <c r="H214" s="1">
        <f t="shared" si="80"/>
        <v>0</v>
      </c>
      <c r="I214" s="1">
        <f t="shared" si="81"/>
        <v>0</v>
      </c>
      <c r="J214" s="1">
        <f t="shared" si="82"/>
        <v>0</v>
      </c>
      <c r="K214" s="1">
        <f t="shared" si="83"/>
        <v>0</v>
      </c>
      <c r="L214" s="1">
        <f t="shared" si="84"/>
        <v>0</v>
      </c>
      <c r="M214" s="1">
        <f t="shared" si="85"/>
        <v>0</v>
      </c>
      <c r="N214" s="1">
        <f t="shared" si="86"/>
        <v>0</v>
      </c>
      <c r="P214">
        <f t="shared" si="87"/>
        <v>0</v>
      </c>
      <c r="Q214" s="1">
        <f t="shared" si="88"/>
        <v>0</v>
      </c>
      <c r="R214">
        <f t="shared" si="89"/>
        <v>0</v>
      </c>
      <c r="S214">
        <f t="shared" si="90"/>
        <v>0</v>
      </c>
      <c r="T214">
        <f t="shared" si="91"/>
        <v>0</v>
      </c>
      <c r="U214">
        <f t="shared" si="92"/>
        <v>0</v>
      </c>
      <c r="V214">
        <f t="shared" si="93"/>
        <v>0</v>
      </c>
      <c r="W214">
        <f t="shared" si="94"/>
        <v>0</v>
      </c>
      <c r="X214">
        <f t="shared" si="95"/>
        <v>0</v>
      </c>
      <c r="Y214">
        <f t="shared" si="96"/>
        <v>0</v>
      </c>
      <c r="Z214">
        <f t="shared" si="97"/>
        <v>0</v>
      </c>
    </row>
    <row r="215" spans="1:26" x14ac:dyDescent="0.25">
      <c r="A215" t="str">
        <f t="shared" si="75"/>
        <v>Web</v>
      </c>
      <c r="B215" t="str">
        <f t="shared" si="76"/>
        <v>XML Schema</v>
      </c>
      <c r="C215" t="s">
        <v>160</v>
      </c>
      <c r="D215" s="1">
        <f t="shared" si="77"/>
        <v>0</v>
      </c>
      <c r="E215" s="1">
        <f t="shared" si="78"/>
        <v>0</v>
      </c>
      <c r="F215" s="1">
        <f t="shared" si="79"/>
        <v>0</v>
      </c>
      <c r="H215" s="1">
        <f t="shared" si="80"/>
        <v>0</v>
      </c>
      <c r="I215" s="1">
        <f t="shared" si="81"/>
        <v>0</v>
      </c>
      <c r="J215" s="1">
        <f t="shared" si="82"/>
        <v>0</v>
      </c>
      <c r="K215" s="1">
        <f t="shared" si="83"/>
        <v>0</v>
      </c>
      <c r="L215" s="1">
        <f t="shared" si="84"/>
        <v>0</v>
      </c>
      <c r="M215" s="1">
        <f t="shared" si="85"/>
        <v>0</v>
      </c>
      <c r="N215" s="1">
        <f t="shared" si="86"/>
        <v>0</v>
      </c>
      <c r="P215">
        <f t="shared" si="87"/>
        <v>0</v>
      </c>
      <c r="Q215" s="1">
        <f t="shared" si="88"/>
        <v>0</v>
      </c>
      <c r="R215">
        <f t="shared" si="89"/>
        <v>0</v>
      </c>
      <c r="S215">
        <f t="shared" si="90"/>
        <v>0</v>
      </c>
      <c r="T215">
        <f t="shared" si="91"/>
        <v>0</v>
      </c>
      <c r="U215">
        <f t="shared" si="92"/>
        <v>0</v>
      </c>
      <c r="V215">
        <f t="shared" si="93"/>
        <v>0</v>
      </c>
      <c r="W215">
        <f t="shared" si="94"/>
        <v>0</v>
      </c>
      <c r="X215">
        <f t="shared" si="95"/>
        <v>0</v>
      </c>
      <c r="Y215">
        <f t="shared" si="96"/>
        <v>0</v>
      </c>
      <c r="Z215">
        <f t="shared" si="97"/>
        <v>0</v>
      </c>
    </row>
    <row r="216" spans="1:26" x14ac:dyDescent="0.25">
      <c r="A216" t="str">
        <f t="shared" si="75"/>
        <v>Web</v>
      </c>
      <c r="B216" t="str">
        <f t="shared" si="76"/>
        <v>XML Style Sheet</v>
      </c>
      <c r="C216" t="s">
        <v>278</v>
      </c>
      <c r="D216" s="1">
        <f t="shared" si="77"/>
        <v>0</v>
      </c>
      <c r="E216" s="1">
        <f t="shared" si="78"/>
        <v>0</v>
      </c>
      <c r="F216" s="1">
        <f t="shared" si="79"/>
        <v>0</v>
      </c>
      <c r="H216" s="1">
        <f t="shared" si="80"/>
        <v>0</v>
      </c>
      <c r="I216" s="1">
        <f t="shared" si="81"/>
        <v>0</v>
      </c>
      <c r="J216" s="1">
        <f t="shared" si="82"/>
        <v>0</v>
      </c>
      <c r="K216" s="1">
        <f t="shared" si="83"/>
        <v>0</v>
      </c>
      <c r="L216" s="1">
        <f t="shared" si="84"/>
        <v>0</v>
      </c>
      <c r="M216" s="1">
        <f t="shared" si="85"/>
        <v>0</v>
      </c>
      <c r="N216" s="1">
        <f t="shared" si="86"/>
        <v>0</v>
      </c>
      <c r="P216">
        <f t="shared" si="87"/>
        <v>0</v>
      </c>
      <c r="Q216" s="1">
        <f t="shared" si="88"/>
        <v>0</v>
      </c>
      <c r="R216">
        <f t="shared" si="89"/>
        <v>0</v>
      </c>
      <c r="S216">
        <f t="shared" si="90"/>
        <v>0</v>
      </c>
      <c r="T216">
        <f t="shared" si="91"/>
        <v>0</v>
      </c>
      <c r="U216">
        <f t="shared" si="92"/>
        <v>0</v>
      </c>
      <c r="V216">
        <f t="shared" si="93"/>
        <v>0</v>
      </c>
      <c r="W216">
        <f t="shared" si="94"/>
        <v>0</v>
      </c>
      <c r="X216">
        <f t="shared" si="95"/>
        <v>0</v>
      </c>
      <c r="Y216">
        <f t="shared" si="96"/>
        <v>0</v>
      </c>
      <c r="Z216">
        <f t="shared" si="97"/>
        <v>0</v>
      </c>
    </row>
    <row r="217" spans="1:26" x14ac:dyDescent="0.25">
      <c r="A217" t="str">
        <f t="shared" si="75"/>
        <v>Web</v>
      </c>
      <c r="B217" t="str">
        <f t="shared" si="76"/>
        <v>XML Style Sheet</v>
      </c>
      <c r="C217" t="s">
        <v>279</v>
      </c>
      <c r="D217" s="1">
        <f t="shared" si="77"/>
        <v>0</v>
      </c>
      <c r="E217" s="1">
        <f t="shared" si="78"/>
        <v>0</v>
      </c>
      <c r="F217" s="1">
        <f t="shared" si="79"/>
        <v>0</v>
      </c>
      <c r="H217" s="1">
        <f t="shared" si="80"/>
        <v>0</v>
      </c>
      <c r="I217" s="1">
        <f t="shared" si="81"/>
        <v>0</v>
      </c>
      <c r="J217" s="1">
        <f t="shared" si="82"/>
        <v>0</v>
      </c>
      <c r="K217" s="1">
        <f t="shared" si="83"/>
        <v>0</v>
      </c>
      <c r="L217" s="1">
        <f t="shared" si="84"/>
        <v>0</v>
      </c>
      <c r="M217" s="1">
        <f t="shared" si="85"/>
        <v>0</v>
      </c>
      <c r="N217" s="1">
        <f t="shared" si="86"/>
        <v>0</v>
      </c>
      <c r="P217">
        <f t="shared" si="87"/>
        <v>0</v>
      </c>
      <c r="Q217" s="1">
        <f t="shared" si="88"/>
        <v>0</v>
      </c>
      <c r="R217">
        <f t="shared" si="89"/>
        <v>0</v>
      </c>
      <c r="S217">
        <f t="shared" si="90"/>
        <v>0</v>
      </c>
      <c r="T217">
        <f t="shared" si="91"/>
        <v>0</v>
      </c>
      <c r="U217">
        <f t="shared" si="92"/>
        <v>0</v>
      </c>
      <c r="V217">
        <f t="shared" si="93"/>
        <v>0</v>
      </c>
      <c r="W217">
        <f t="shared" si="94"/>
        <v>0</v>
      </c>
      <c r="X217">
        <f t="shared" si="95"/>
        <v>0</v>
      </c>
      <c r="Y217">
        <f t="shared" si="96"/>
        <v>0</v>
      </c>
      <c r="Z217">
        <f t="shared" si="97"/>
        <v>0</v>
      </c>
    </row>
    <row r="218" spans="1:26" x14ac:dyDescent="0.25">
      <c r="A218" t="str">
        <f t="shared" si="75"/>
        <v>Web</v>
      </c>
      <c r="B218" t="str">
        <f t="shared" si="76"/>
        <v>PHP</v>
      </c>
      <c r="C218" t="s">
        <v>252</v>
      </c>
      <c r="D218" s="1">
        <f t="shared" si="77"/>
        <v>0</v>
      </c>
      <c r="E218" s="1">
        <f t="shared" si="78"/>
        <v>0</v>
      </c>
      <c r="F218" s="1">
        <f t="shared" si="79"/>
        <v>0</v>
      </c>
      <c r="H218" s="1">
        <f t="shared" si="80"/>
        <v>0</v>
      </c>
      <c r="I218" s="1">
        <f t="shared" si="81"/>
        <v>0</v>
      </c>
      <c r="J218" s="1">
        <f t="shared" si="82"/>
        <v>0</v>
      </c>
      <c r="K218" s="1">
        <f t="shared" si="83"/>
        <v>0</v>
      </c>
      <c r="L218" s="1">
        <f t="shared" si="84"/>
        <v>0</v>
      </c>
      <c r="M218" s="1">
        <f t="shared" si="85"/>
        <v>0</v>
      </c>
      <c r="N218" s="1">
        <f t="shared" si="86"/>
        <v>0</v>
      </c>
      <c r="P218">
        <f t="shared" si="87"/>
        <v>0</v>
      </c>
      <c r="Q218" s="1">
        <f t="shared" si="88"/>
        <v>0</v>
      </c>
      <c r="R218">
        <f t="shared" si="89"/>
        <v>0</v>
      </c>
      <c r="S218">
        <f t="shared" si="90"/>
        <v>0</v>
      </c>
      <c r="T218">
        <f t="shared" si="91"/>
        <v>0</v>
      </c>
      <c r="U218">
        <f t="shared" si="92"/>
        <v>0</v>
      </c>
      <c r="V218">
        <f t="shared" si="93"/>
        <v>0</v>
      </c>
      <c r="W218">
        <f t="shared" si="94"/>
        <v>0</v>
      </c>
      <c r="X218">
        <f t="shared" si="95"/>
        <v>0</v>
      </c>
      <c r="Y218">
        <f t="shared" si="96"/>
        <v>0</v>
      </c>
      <c r="Z218">
        <f t="shared" si="97"/>
        <v>0</v>
      </c>
    </row>
    <row r="219" spans="1:26" x14ac:dyDescent="0.25">
      <c r="A219" t="str">
        <f t="shared" si="75"/>
        <v>Web</v>
      </c>
      <c r="B219" t="str">
        <f t="shared" si="76"/>
        <v>PHP</v>
      </c>
      <c r="C219" t="s">
        <v>254</v>
      </c>
      <c r="D219" s="1">
        <f t="shared" si="77"/>
        <v>0</v>
      </c>
      <c r="E219" s="1">
        <f t="shared" si="78"/>
        <v>0</v>
      </c>
      <c r="F219" s="1">
        <f t="shared" si="79"/>
        <v>0</v>
      </c>
      <c r="H219" s="1">
        <f t="shared" si="80"/>
        <v>0</v>
      </c>
      <c r="I219" s="1">
        <f t="shared" si="81"/>
        <v>0</v>
      </c>
      <c r="J219" s="1">
        <f t="shared" si="82"/>
        <v>0</v>
      </c>
      <c r="K219" s="1">
        <f t="shared" si="83"/>
        <v>0</v>
      </c>
      <c r="L219" s="1">
        <f t="shared" si="84"/>
        <v>0</v>
      </c>
      <c r="M219" s="1">
        <f t="shared" si="85"/>
        <v>0</v>
      </c>
      <c r="N219" s="1">
        <f t="shared" si="86"/>
        <v>0</v>
      </c>
      <c r="P219">
        <f t="shared" si="87"/>
        <v>0</v>
      </c>
      <c r="Q219" s="1">
        <f t="shared" si="88"/>
        <v>0</v>
      </c>
      <c r="R219">
        <f t="shared" si="89"/>
        <v>0</v>
      </c>
      <c r="S219">
        <f t="shared" si="90"/>
        <v>0</v>
      </c>
      <c r="T219">
        <f t="shared" si="91"/>
        <v>0</v>
      </c>
      <c r="U219">
        <f t="shared" si="92"/>
        <v>0</v>
      </c>
      <c r="V219">
        <f t="shared" si="93"/>
        <v>0</v>
      </c>
      <c r="W219">
        <f t="shared" si="94"/>
        <v>0</v>
      </c>
      <c r="X219">
        <f t="shared" si="95"/>
        <v>0</v>
      </c>
      <c r="Y219">
        <f t="shared" si="96"/>
        <v>0</v>
      </c>
      <c r="Z219">
        <f t="shared" si="97"/>
        <v>0</v>
      </c>
    </row>
  </sheetData>
  <autoFilter ref="A1:Z1" xr:uid="{00000000-0001-0000-0100-000000000000}"/>
  <sortState xmlns:xlrd2="http://schemas.microsoft.com/office/spreadsheetml/2017/richdata2" ref="A2:F219">
    <sortCondition ref="A2:A219"/>
    <sortCondition ref="C2:C219"/>
  </sortState>
  <conditionalFormatting sqref="Q71:U85 Q2:U3 Q40:U69 Q5:U38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{9C556DCC-4925-47EE-A3C8-D1856AF3368A}</x14:id>
        </ext>
      </extLst>
    </cfRule>
  </conditionalFormatting>
  <conditionalFormatting sqref="H71:L85 H2:L3 O2:O3 O40:O69 H40:L69 O5:O38 H5:L38 O71:O8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{99BFA196-6E5E-455F-8A99-B116806A7CB9}</x14:id>
        </ext>
      </extLst>
    </cfRule>
  </conditionalFormatting>
  <conditionalFormatting sqref="Q39:U3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{195CCB4F-C122-4370-9179-F3788A569207}</x14:id>
        </ext>
      </extLst>
    </cfRule>
  </conditionalFormatting>
  <conditionalFormatting sqref="H39:L39 O3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{D49FF785-99BD-4BA6-B862-1B19B29E6440}</x14:id>
        </ext>
      </extLst>
    </cfRule>
  </conditionalFormatting>
  <conditionalFormatting sqref="Q4:U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{DC3D92D6-0A4A-4B01-944A-B24527426220}</x14:id>
        </ext>
      </extLst>
    </cfRule>
  </conditionalFormatting>
  <conditionalFormatting sqref="H4:L4 O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{E24F132C-EF56-471D-AC9E-5B23A17DAC6F}</x14:id>
        </ext>
      </extLst>
    </cfRule>
  </conditionalFormatting>
  <conditionalFormatting sqref="Q70:U7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{6D432F98-8E40-4DB6-A48C-772ED787DF8E}</x14:id>
        </ext>
      </extLst>
    </cfRule>
  </conditionalFormatting>
  <conditionalFormatting sqref="H70:L70 O70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{5EF01D7F-DF0C-4CDE-942A-38A8DAFC6927}</x14:id>
        </ext>
      </extLst>
    </cfRule>
  </conditionalFormatting>
  <conditionalFormatting sqref="Q86:U14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{2DDD7FD3-10D9-4846-89CE-4B16637469E1}</x14:id>
        </ext>
      </extLst>
    </cfRule>
  </conditionalFormatting>
  <conditionalFormatting sqref="H86:L144 O86:O144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{FC89F6D5-4149-45A8-BA0F-935CFE1B040A}</x14:id>
        </ext>
      </extLst>
    </cfRule>
  </conditionalFormatting>
  <conditionalFormatting sqref="Q145:U2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{F5941010-F3B6-4944-B8F3-D98221B3F72F}</x14:id>
        </ext>
      </extLst>
    </cfRule>
  </conditionalFormatting>
  <conditionalFormatting sqref="H145:L219 O145:O219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{FB13C651-634C-489D-AAC8-6DBB57646419}</x14:id>
        </ext>
      </extLst>
    </cfRule>
  </conditionalFormatting>
  <conditionalFormatting sqref="H145:L21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{9283D431-1E9F-4594-AF1B-53D5E4577D84}</x14:id>
        </ext>
      </extLst>
    </cfRule>
  </conditionalFormatting>
  <conditionalFormatting sqref="Q145:U219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{764B6605-E363-401A-BFBD-377E6AA22652}</x14:id>
        </ext>
      </extLst>
    </cfRule>
  </conditionalFormatting>
  <conditionalFormatting sqref="H2:L144"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{1DA8EDAE-E80B-4776-BC1D-08F00E2E4A7E}</x14:id>
        </ext>
      </extLst>
    </cfRule>
  </conditionalFormatting>
  <conditionalFormatting sqref="Q2:U144">
    <cfRule type="dataBar" priority="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{4B6631AA-51EC-4E4B-93D2-F8D44E622DD1}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556DCC-4925-47EE-A3C8-D1856AF336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Q71:U85 Q2:U3 Q40:U69 Q5:U38</xm:sqref>
        </x14:conditionalFormatting>
        <x14:conditionalFormatting xmlns:xm="http://schemas.microsoft.com/office/excel/2006/main">
          <x14:cfRule type="dataBar" id="{99BFA196-6E5E-455F-8A99-B116806A7C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H71:L85 H2:L3 O2:O3 O40:O69 H40:L69 O5:O38 H5:L38 O71:O85</xm:sqref>
        </x14:conditionalFormatting>
        <x14:conditionalFormatting xmlns:xm="http://schemas.microsoft.com/office/excel/2006/main">
          <x14:cfRule type="dataBar" id="{195CCB4F-C122-4370-9179-F3788A5692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Q39:U39</xm:sqref>
        </x14:conditionalFormatting>
        <x14:conditionalFormatting xmlns:xm="http://schemas.microsoft.com/office/excel/2006/main">
          <x14:cfRule type="dataBar" id="{D49FF785-99BD-4BA6-B862-1B19B29E64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H39:L39 O39</xm:sqref>
        </x14:conditionalFormatting>
        <x14:conditionalFormatting xmlns:xm="http://schemas.microsoft.com/office/excel/2006/main">
          <x14:cfRule type="dataBar" id="{DC3D92D6-0A4A-4B01-944A-B245274262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Q4:U4</xm:sqref>
        </x14:conditionalFormatting>
        <x14:conditionalFormatting xmlns:xm="http://schemas.microsoft.com/office/excel/2006/main">
          <x14:cfRule type="dataBar" id="{E24F132C-EF56-471D-AC9E-5B23A17DAC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H4:L4 O4</xm:sqref>
        </x14:conditionalFormatting>
        <x14:conditionalFormatting xmlns:xm="http://schemas.microsoft.com/office/excel/2006/main">
          <x14:cfRule type="dataBar" id="{6D432F98-8E40-4DB6-A48C-772ED787DF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Q70:U70</xm:sqref>
        </x14:conditionalFormatting>
        <x14:conditionalFormatting xmlns:xm="http://schemas.microsoft.com/office/excel/2006/main">
          <x14:cfRule type="dataBar" id="{5EF01D7F-DF0C-4CDE-942A-38A8DAFC69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H70:L70 O70</xm:sqref>
        </x14:conditionalFormatting>
        <x14:conditionalFormatting xmlns:xm="http://schemas.microsoft.com/office/excel/2006/main">
          <x14:cfRule type="dataBar" id="{2DDD7FD3-10D9-4846-89CE-4B16637469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Q86:U144</xm:sqref>
        </x14:conditionalFormatting>
        <x14:conditionalFormatting xmlns:xm="http://schemas.microsoft.com/office/excel/2006/main">
          <x14:cfRule type="dataBar" id="{FC89F6D5-4149-45A8-BA0F-935CFE1B04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H86:L144 O86:O144</xm:sqref>
        </x14:conditionalFormatting>
        <x14:conditionalFormatting xmlns:xm="http://schemas.microsoft.com/office/excel/2006/main">
          <x14:cfRule type="dataBar" id="{F5941010-F3B6-4944-B8F3-D98221B3F7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Q145:U219</xm:sqref>
        </x14:conditionalFormatting>
        <x14:conditionalFormatting xmlns:xm="http://schemas.microsoft.com/office/excel/2006/main">
          <x14:cfRule type="dataBar" id="{FB13C651-634C-489D-AAC8-6DBB576464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H145:L219 O145:O219</xm:sqref>
        </x14:conditionalFormatting>
        <x14:conditionalFormatting xmlns:xm="http://schemas.microsoft.com/office/excel/2006/main">
          <x14:cfRule type="dataBar" id="{9283D431-1E9F-4594-AF1B-53D5E4577D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H145:L219</xm:sqref>
        </x14:conditionalFormatting>
        <x14:conditionalFormatting xmlns:xm="http://schemas.microsoft.com/office/excel/2006/main">
          <x14:cfRule type="dataBar" id="{764B6605-E363-401A-BFBD-377E6AA2265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Q145:U219</xm:sqref>
        </x14:conditionalFormatting>
        <x14:conditionalFormatting xmlns:xm="http://schemas.microsoft.com/office/excel/2006/main">
          <x14:cfRule type="dataBar" id="{1DA8EDAE-E80B-4776-BC1D-08F00E2E4A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H2:L144</xm:sqref>
        </x14:conditionalFormatting>
        <x14:conditionalFormatting xmlns:xm="http://schemas.microsoft.com/office/excel/2006/main">
          <x14:cfRule type="dataBar" id="{4B6631AA-51EC-4E4B-93D2-F8D44E622D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Q2:U144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"/>
  <sheetViews>
    <sheetView workbookViewId="0">
      <selection activeCell="E4" sqref="E4"/>
    </sheetView>
  </sheetViews>
  <sheetFormatPr defaultRowHeight="15" x14ac:dyDescent="0.25"/>
  <cols>
    <col min="1" max="1" width="20" bestFit="1" customWidth="1"/>
    <col min="2" max="2" width="16.42578125" customWidth="1"/>
    <col min="3" max="3" width="14.42578125" customWidth="1"/>
    <col min="4" max="4" width="14.42578125" bestFit="1" customWidth="1"/>
    <col min="12" max="12" width="4.140625" customWidth="1"/>
    <col min="13" max="13" width="10.7109375" bestFit="1" customWidth="1"/>
    <col min="14" max="14" width="9.5703125" bestFit="1" customWidth="1"/>
    <col min="16" max="16" width="10.28515625" bestFit="1" customWidth="1"/>
  </cols>
  <sheetData>
    <row r="1" spans="1:23" s="12" customFormat="1" ht="45" x14ac:dyDescent="0.25">
      <c r="B1" s="13" t="s">
        <v>7</v>
      </c>
      <c r="C1" s="14" t="s">
        <v>8</v>
      </c>
      <c r="D1" s="13" t="s">
        <v>9</v>
      </c>
      <c r="E1" s="15" t="s">
        <v>109</v>
      </c>
      <c r="F1" s="15" t="s">
        <v>110</v>
      </c>
      <c r="G1" s="15" t="s">
        <v>111</v>
      </c>
      <c r="H1" s="15" t="s">
        <v>112</v>
      </c>
      <c r="I1" s="15" t="s">
        <v>114</v>
      </c>
      <c r="J1" s="15" t="s">
        <v>113</v>
      </c>
      <c r="K1" s="15" t="s">
        <v>126</v>
      </c>
      <c r="L1" s="15"/>
      <c r="M1" s="16" t="s">
        <v>335</v>
      </c>
      <c r="N1" s="15" t="s">
        <v>115</v>
      </c>
      <c r="O1" s="16" t="s">
        <v>116</v>
      </c>
      <c r="P1" s="16" t="s">
        <v>117</v>
      </c>
      <c r="Q1" s="16" t="s">
        <v>118</v>
      </c>
      <c r="R1" s="16" t="s">
        <v>125</v>
      </c>
      <c r="S1" s="16" t="s">
        <v>119</v>
      </c>
      <c r="T1" s="16" t="s">
        <v>120</v>
      </c>
      <c r="U1" s="16" t="s">
        <v>121</v>
      </c>
      <c r="V1" s="12" t="s">
        <v>53</v>
      </c>
      <c r="W1" s="12" t="s">
        <v>54</v>
      </c>
    </row>
    <row r="2" spans="1:23" x14ac:dyDescent="0.25">
      <c r="A2" s="2" t="s">
        <v>273</v>
      </c>
      <c r="B2" s="3">
        <f>SUM(Inventory!D1:D199)</f>
        <v>0</v>
      </c>
      <c r="C2" s="3" t="e">
        <f>B2/M2</f>
        <v>#DIV/0!</v>
      </c>
      <c r="D2" s="3">
        <f>SUM(Inventory!F1:F178)</f>
        <v>0</v>
      </c>
      <c r="E2" s="3">
        <f>SUM(Inventory!H1:H178)</f>
        <v>0</v>
      </c>
      <c r="F2" s="3">
        <f>SUM(Inventory!I1:I178)</f>
        <v>0</v>
      </c>
      <c r="G2" s="3">
        <f>SUM(Inventory!J1:J178)</f>
        <v>0</v>
      </c>
      <c r="H2" s="3">
        <f>SUM(Inventory!K1:K178)</f>
        <v>0</v>
      </c>
      <c r="I2" s="3">
        <f>SUM(Inventory!L1:L178)</f>
        <v>0</v>
      </c>
      <c r="J2" s="3">
        <f>SUM(Inventory!M1:M178)</f>
        <v>0</v>
      </c>
      <c r="K2" s="3">
        <f>SUM(Inventory!N1:N178)</f>
        <v>0</v>
      </c>
      <c r="L2" s="3"/>
      <c r="M2" s="3">
        <f>SUM(Inventory!P1:P178)</f>
        <v>0</v>
      </c>
      <c r="N2" s="3">
        <f>SUM(Inventory!Q1:Q178)</f>
        <v>0</v>
      </c>
      <c r="O2" s="3">
        <f>SUM(Inventory!R1:R178)</f>
        <v>0</v>
      </c>
      <c r="P2" s="3">
        <f>SUM(Inventory!S1:S178)</f>
        <v>0</v>
      </c>
      <c r="Q2" s="3">
        <f>SUM(Inventory!T1:T178)</f>
        <v>0</v>
      </c>
      <c r="R2" s="3">
        <f>SUM(Inventory!U1:U178)</f>
        <v>0</v>
      </c>
      <c r="S2" s="3">
        <f>SUM(Inventory!V1:V178)</f>
        <v>0</v>
      </c>
      <c r="T2" s="3">
        <f>SUM(Inventory!W1:W178)</f>
        <v>0</v>
      </c>
      <c r="U2" s="3">
        <f>SUM(Inventory!X1:X178)</f>
        <v>0</v>
      </c>
      <c r="V2" s="3">
        <f>SUM(Inventory!Y1:Y178)</f>
        <v>0</v>
      </c>
      <c r="W2" s="3">
        <f>SUM(Inventory!Z1:Z178)</f>
        <v>0</v>
      </c>
    </row>
    <row r="3" spans="1:23" x14ac:dyDescent="0.25">
      <c r="A3" s="2" t="s">
        <v>272</v>
      </c>
      <c r="B3" s="3">
        <f>SUM(output!E1:E921965)</f>
        <v>0</v>
      </c>
      <c r="C3" s="3"/>
      <c r="D3" s="3"/>
      <c r="E3" s="3"/>
      <c r="F3" s="3"/>
      <c r="G3" s="3"/>
      <c r="H3" s="3"/>
      <c r="I3" s="3"/>
      <c r="L3" s="2"/>
      <c r="M3" s="3"/>
      <c r="N3" s="2"/>
      <c r="O3" s="2"/>
      <c r="P3" s="2"/>
      <c r="Q3" s="2"/>
      <c r="R3" s="2"/>
      <c r="V3" s="2"/>
    </row>
    <row r="4" spans="1:23" x14ac:dyDescent="0.25">
      <c r="A4" s="2" t="s">
        <v>104</v>
      </c>
      <c r="B4" s="10" t="e">
        <f>B2/B3</f>
        <v>#DIV/0!</v>
      </c>
      <c r="C4" s="3"/>
      <c r="D4" s="10" t="s">
        <v>334</v>
      </c>
      <c r="E4" s="10" t="e">
        <f t="shared" ref="E4:K4" si="0">E2/TotalMB</f>
        <v>#DIV/0!</v>
      </c>
      <c r="F4" s="10" t="e">
        <f t="shared" si="0"/>
        <v>#DIV/0!</v>
      </c>
      <c r="G4" s="10" t="e">
        <f t="shared" si="0"/>
        <v>#DIV/0!</v>
      </c>
      <c r="H4" s="10" t="e">
        <f t="shared" si="0"/>
        <v>#DIV/0!</v>
      </c>
      <c r="I4" s="10" t="e">
        <f t="shared" si="0"/>
        <v>#DIV/0!</v>
      </c>
      <c r="J4" s="19" t="e">
        <f t="shared" si="0"/>
        <v>#DIV/0!</v>
      </c>
      <c r="K4" s="19" t="e">
        <f t="shared" si="0"/>
        <v>#DIV/0!</v>
      </c>
      <c r="L4" s="2"/>
      <c r="M4" s="10"/>
      <c r="N4" s="10" t="e">
        <f t="shared" ref="N4:T4" si="1">N2/InventoryCount</f>
        <v>#DIV/0!</v>
      </c>
      <c r="O4" s="10" t="e">
        <f t="shared" si="1"/>
        <v>#DIV/0!</v>
      </c>
      <c r="P4" s="10" t="e">
        <f t="shared" si="1"/>
        <v>#DIV/0!</v>
      </c>
      <c r="Q4" s="10" t="e">
        <f t="shared" si="1"/>
        <v>#DIV/0!</v>
      </c>
      <c r="R4" s="10" t="e">
        <f t="shared" si="1"/>
        <v>#DIV/0!</v>
      </c>
      <c r="S4" s="19" t="e">
        <f t="shared" si="1"/>
        <v>#DIV/0!</v>
      </c>
      <c r="T4" s="19" t="e">
        <f t="shared" si="1"/>
        <v>#DIV/0!</v>
      </c>
      <c r="U4" s="10"/>
      <c r="V4" s="10"/>
    </row>
    <row r="5" spans="1:23" s="11" customFormat="1" x14ac:dyDescent="0.25">
      <c r="D5" s="10" t="s">
        <v>333</v>
      </c>
      <c r="E5" s="10" t="e">
        <f>E2/(TotalMB-E2)</f>
        <v>#DIV/0!</v>
      </c>
      <c r="F5" s="10" t="e">
        <f>F2/(TotalMB-E2-F2)</f>
        <v>#DIV/0!</v>
      </c>
      <c r="G5" s="10" t="e">
        <f>G2/(TotalMB-(SUM(E2:G2)))</f>
        <v>#DIV/0!</v>
      </c>
      <c r="H5" s="10" t="e">
        <f>H2/(TotalMB-(SUM(E2:H2)))</f>
        <v>#DIV/0!</v>
      </c>
      <c r="I5" s="10" t="e">
        <f>I2/(TotalMB-I2)</f>
        <v>#DIV/0!</v>
      </c>
      <c r="N5" s="10" t="e">
        <f>N2/(InventoryCount-N2)</f>
        <v>#DIV/0!</v>
      </c>
      <c r="O5" s="10" t="e">
        <f>O2/(InventoryCount-N2-O2)</f>
        <v>#DIV/0!</v>
      </c>
      <c r="P5" s="10" t="e">
        <f>P2/(InventoryCount-SUM(N2:P2))</f>
        <v>#DIV/0!</v>
      </c>
      <c r="Q5" s="10" t="e">
        <f>Q2/(InventoryCount-SUM(N2:Q2))</f>
        <v>#DIV/0!</v>
      </c>
      <c r="R5" s="10" t="e">
        <f>R2/(InventoryCount-SUM(N2:R2))</f>
        <v>#DIV/0!</v>
      </c>
      <c r="S5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>
      <selection activeCell="K8" sqref="K8"/>
    </sheetView>
  </sheetViews>
  <sheetFormatPr defaultRowHeight="15" x14ac:dyDescent="0.25"/>
  <cols>
    <col min="1" max="1" width="10.5703125" bestFit="1" customWidth="1"/>
    <col min="2" max="2" width="9.85546875" style="1" bestFit="1" customWidth="1"/>
    <col min="9" max="9" width="10.5703125" bestFit="1" customWidth="1"/>
    <col min="10" max="10" width="10.28515625" style="1" bestFit="1" customWidth="1"/>
    <col min="11" max="11" width="10.28515625" bestFit="1" customWidth="1"/>
    <col min="12" max="12" width="11.28515625" style="11" customWidth="1"/>
  </cols>
  <sheetData>
    <row r="1" spans="1:12" s="17" customFormat="1" ht="45" x14ac:dyDescent="0.25">
      <c r="A1" s="12" t="s">
        <v>10</v>
      </c>
      <c r="B1" s="13" t="s">
        <v>9</v>
      </c>
      <c r="C1" s="12" t="s">
        <v>6</v>
      </c>
      <c r="I1" s="12" t="s">
        <v>10</v>
      </c>
      <c r="J1" s="15" t="s">
        <v>123</v>
      </c>
      <c r="K1" s="16" t="s">
        <v>122</v>
      </c>
      <c r="L1" s="18" t="s">
        <v>124</v>
      </c>
    </row>
    <row r="2" spans="1:12" x14ac:dyDescent="0.25">
      <c r="A2" t="s">
        <v>12</v>
      </c>
      <c r="B2" s="1">
        <f>SUMIF(Inventory!A2:A999982,A2,Inventory!F2:F999982)</f>
        <v>0</v>
      </c>
      <c r="C2">
        <f>SUMIF(Inventory!A2:A999982,A2,Inventory!P2:P999982)</f>
        <v>0</v>
      </c>
      <c r="I2" t="s">
        <v>17</v>
      </c>
      <c r="J2" s="1">
        <f>SUMIF(Inventory!A3:A999983,I2,Inventory!M3:M999983)</f>
        <v>0</v>
      </c>
      <c r="K2">
        <f>SUMIF(Inventory!A3:A999983,I2,Inventory!V3:V999983)</f>
        <v>0</v>
      </c>
      <c r="L2" s="11" t="e">
        <f>J2/B3</f>
        <v>#DIV/0!</v>
      </c>
    </row>
    <row r="3" spans="1:12" x14ac:dyDescent="0.25">
      <c r="A3" t="s">
        <v>17</v>
      </c>
      <c r="B3" s="1">
        <f>SUMIF(Inventory!A3:A999983,A3,Inventory!F3:F999983)</f>
        <v>0</v>
      </c>
      <c r="C3">
        <f>SUMIF(Inventory!A3:A999983,A3,Inventory!P3:P999983)</f>
        <v>0</v>
      </c>
      <c r="I3" t="s">
        <v>11</v>
      </c>
      <c r="J3" s="1">
        <f>SUMIF(Inventory!A6:A999984,I3,Inventory!M5:M999984)</f>
        <v>0</v>
      </c>
      <c r="K3">
        <f>SUMIF(Inventory!A6:A999984,I3,Inventory!V5:V999984)</f>
        <v>0</v>
      </c>
      <c r="L3" s="11" t="e">
        <f>J3/B4</f>
        <v>#DIV/0!</v>
      </c>
    </row>
    <row r="4" spans="1:12" x14ac:dyDescent="0.25">
      <c r="A4" t="s">
        <v>11</v>
      </c>
      <c r="B4" s="1">
        <f>SUMIF(Inventory!A6:A999984,A4,Inventory!F5:F999984)</f>
        <v>0</v>
      </c>
      <c r="C4">
        <f>SUMIF(Inventory!A6:A999984,A4,Inventory!P5:P999984)</f>
        <v>0</v>
      </c>
      <c r="I4" t="s">
        <v>15</v>
      </c>
      <c r="J4" s="1">
        <f>SUMIF(Inventory!A6:A999985,I4,Inventory!M6:M999985)</f>
        <v>0</v>
      </c>
      <c r="K4">
        <f>SUMIF(Inventory!A6:A999985,I4,Inventory!V6:V999985)</f>
        <v>0</v>
      </c>
      <c r="L4" s="11" t="e">
        <f>J4/B5</f>
        <v>#DIV/0!</v>
      </c>
    </row>
    <row r="5" spans="1:12" x14ac:dyDescent="0.25">
      <c r="A5" t="s">
        <v>15</v>
      </c>
      <c r="B5" s="1">
        <f>SUMIF(Inventory!A6:A999985,A5,Inventory!F6:F999985)</f>
        <v>0</v>
      </c>
      <c r="C5">
        <f>SUMIF(Inventory!A6:A999985,A5,Inventory!P6:P999985)</f>
        <v>0</v>
      </c>
      <c r="I5" t="s">
        <v>16</v>
      </c>
      <c r="J5" s="1">
        <f>SUMIF(Inventory!A7:A999986,I5,Inventory!M7:M999986)</f>
        <v>0</v>
      </c>
      <c r="K5">
        <f>SUMIF(Inventory!A7:A999986,I5,Inventory!V7:V999986)</f>
        <v>0</v>
      </c>
      <c r="L5" s="11" t="e">
        <f>J5/B7</f>
        <v>#DIV/0!</v>
      </c>
    </row>
    <row r="6" spans="1:12" x14ac:dyDescent="0.25">
      <c r="A6" t="s">
        <v>14</v>
      </c>
      <c r="B6" s="1">
        <f>SUMIF(Inventory!A7:A999986,A6,Inventory!F7:F999986)</f>
        <v>0</v>
      </c>
      <c r="C6">
        <f>SUMIF(Inventory!A7:A999986,A6,Inventory!P7:P999986)</f>
        <v>0</v>
      </c>
      <c r="I6" t="s">
        <v>18</v>
      </c>
      <c r="J6" s="1">
        <f>SUMIF(Inventory!A8:A999987,I6,Inventory!M8:M999987)</f>
        <v>0</v>
      </c>
      <c r="K6">
        <f>SUMIF(Inventory!A8:A999987,I6,Inventory!V8:V999987)</f>
        <v>0</v>
      </c>
      <c r="L6" s="11" t="e">
        <f>J6/B8</f>
        <v>#DIV/0!</v>
      </c>
    </row>
    <row r="7" spans="1:12" x14ac:dyDescent="0.25">
      <c r="A7" t="s">
        <v>16</v>
      </c>
      <c r="B7" s="1">
        <f>SUMIF(Inventory!A8:A999987,A7,Inventory!F8:F999987)</f>
        <v>0</v>
      </c>
      <c r="C7">
        <f>SUMIF(Inventory!A8:A999987,A7,Inventory!P8:P999987)</f>
        <v>0</v>
      </c>
      <c r="I7" t="s">
        <v>13</v>
      </c>
      <c r="J7" s="1">
        <f>SUMIF(Inventory!A9:A999988,I7,Inventory!M9:M999988)</f>
        <v>0</v>
      </c>
      <c r="K7">
        <f>SUMIF(Inventory!A9:A999988,I7,Inventory!V9:V999988)</f>
        <v>0</v>
      </c>
      <c r="L7" s="11" t="e">
        <f>J7/B9</f>
        <v>#DIV/0!</v>
      </c>
    </row>
    <row r="8" spans="1:12" x14ac:dyDescent="0.25">
      <c r="A8" t="s">
        <v>18</v>
      </c>
      <c r="B8" s="1">
        <f>SUMIF(Inventory!A9:A999988,A8,Inventory!F9:F999988)</f>
        <v>0</v>
      </c>
      <c r="C8">
        <f>SUMIF(Inventory!A9:A999988,A8,Inventory!P9:P999988)</f>
        <v>0</v>
      </c>
      <c r="I8" s="2" t="s">
        <v>274</v>
      </c>
      <c r="J8" s="3">
        <f>SUM(J2:J7)</f>
        <v>0</v>
      </c>
      <c r="K8" s="3">
        <f>SUM(K2:K7)</f>
        <v>0</v>
      </c>
      <c r="L8" s="10" t="e">
        <f>J8/B10</f>
        <v>#DIV/0!</v>
      </c>
    </row>
    <row r="9" spans="1:12" x14ac:dyDescent="0.25">
      <c r="A9" t="s">
        <v>13</v>
      </c>
      <c r="B9" s="1">
        <f>SUMIF(Inventory!A10:A999989,A9,Inventory!F10:F999989)</f>
        <v>0</v>
      </c>
      <c r="C9">
        <f>SUMIF(Inventory!A10:A999989,A9,Inventory!P10:P999989)</f>
        <v>0</v>
      </c>
    </row>
    <row r="10" spans="1:12" x14ac:dyDescent="0.25">
      <c r="A10" s="2" t="s">
        <v>274</v>
      </c>
      <c r="B10" s="3">
        <f>SUM(B2:B9)</f>
        <v>0</v>
      </c>
      <c r="C10" s="3">
        <f>SUM(C2:C9)</f>
        <v>0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9"/>
  <sheetViews>
    <sheetView tabSelected="1" workbookViewId="0">
      <selection activeCell="A2" sqref="A2"/>
    </sheetView>
  </sheetViews>
  <sheetFormatPr defaultRowHeight="15" x14ac:dyDescent="0.25"/>
  <cols>
    <col min="1" max="1" width="13.42578125" bestFit="1" customWidth="1"/>
    <col min="2" max="2" width="48.28515625" bestFit="1" customWidth="1"/>
    <col min="3" max="3" width="14.5703125" bestFit="1" customWidth="1"/>
  </cols>
  <sheetData>
    <row r="1" spans="1:3" x14ac:dyDescent="0.25">
      <c r="A1" s="12" t="s">
        <v>10</v>
      </c>
      <c r="B1" s="12" t="s">
        <v>49</v>
      </c>
      <c r="C1" s="12" t="s">
        <v>1</v>
      </c>
    </row>
    <row r="2" spans="1:3" x14ac:dyDescent="0.25">
      <c r="A2" t="s">
        <v>11</v>
      </c>
      <c r="B2" t="s">
        <v>72</v>
      </c>
      <c r="C2" t="s">
        <v>287</v>
      </c>
    </row>
    <row r="3" spans="1:3" x14ac:dyDescent="0.25">
      <c r="A3" t="s">
        <v>14</v>
      </c>
      <c r="B3" t="s">
        <v>82</v>
      </c>
      <c r="C3" t="s">
        <v>319</v>
      </c>
    </row>
    <row r="4" spans="1:3" x14ac:dyDescent="0.25">
      <c r="A4" t="s">
        <v>11</v>
      </c>
      <c r="B4" t="s">
        <v>19</v>
      </c>
      <c r="C4" t="s">
        <v>289</v>
      </c>
    </row>
    <row r="5" spans="1:3" x14ac:dyDescent="0.25">
      <c r="A5" t="s">
        <v>12</v>
      </c>
      <c r="B5" t="s">
        <v>422</v>
      </c>
      <c r="C5" t="s">
        <v>216</v>
      </c>
    </row>
    <row r="6" spans="1:3" x14ac:dyDescent="0.25">
      <c r="A6" t="s">
        <v>13</v>
      </c>
      <c r="B6" t="s">
        <v>20</v>
      </c>
      <c r="C6" t="s">
        <v>170</v>
      </c>
    </row>
    <row r="7" spans="1:3" x14ac:dyDescent="0.25">
      <c r="A7" t="s">
        <v>13</v>
      </c>
      <c r="B7" t="s">
        <v>20</v>
      </c>
      <c r="C7" t="s">
        <v>157</v>
      </c>
    </row>
    <row r="8" spans="1:3" x14ac:dyDescent="0.25">
      <c r="A8" t="s">
        <v>13</v>
      </c>
      <c r="B8" t="s">
        <v>20</v>
      </c>
      <c r="C8" t="s">
        <v>215</v>
      </c>
    </row>
    <row r="9" spans="1:3" x14ac:dyDescent="0.25">
      <c r="A9" t="s">
        <v>13</v>
      </c>
      <c r="B9" t="s">
        <v>20</v>
      </c>
      <c r="C9" t="s">
        <v>127</v>
      </c>
    </row>
    <row r="10" spans="1:3" x14ac:dyDescent="0.25">
      <c r="A10" t="s">
        <v>11</v>
      </c>
      <c r="B10" t="s">
        <v>75</v>
      </c>
      <c r="C10" t="s">
        <v>294</v>
      </c>
    </row>
    <row r="11" spans="1:3" x14ac:dyDescent="0.25">
      <c r="A11" t="s">
        <v>18</v>
      </c>
      <c r="B11" t="s">
        <v>97</v>
      </c>
      <c r="C11" t="s">
        <v>190</v>
      </c>
    </row>
    <row r="12" spans="1:3" x14ac:dyDescent="0.25">
      <c r="A12" t="s">
        <v>14</v>
      </c>
      <c r="B12" t="s">
        <v>89</v>
      </c>
      <c r="C12" t="s">
        <v>213</v>
      </c>
    </row>
    <row r="13" spans="1:3" x14ac:dyDescent="0.25">
      <c r="A13" t="s">
        <v>14</v>
      </c>
      <c r="B13" t="s">
        <v>89</v>
      </c>
      <c r="C13" t="s">
        <v>167</v>
      </c>
    </row>
    <row r="14" spans="1:3" x14ac:dyDescent="0.25">
      <c r="A14" t="s">
        <v>14</v>
      </c>
      <c r="B14" t="s">
        <v>89</v>
      </c>
      <c r="C14" t="s">
        <v>253</v>
      </c>
    </row>
    <row r="15" spans="1:3" x14ac:dyDescent="0.25">
      <c r="A15" t="s">
        <v>12</v>
      </c>
      <c r="B15" t="s">
        <v>414</v>
      </c>
      <c r="C15" t="s">
        <v>415</v>
      </c>
    </row>
    <row r="16" spans="1:3" x14ac:dyDescent="0.25">
      <c r="A16" t="s">
        <v>17</v>
      </c>
      <c r="B16" t="s">
        <v>64</v>
      </c>
      <c r="C16" t="s">
        <v>212</v>
      </c>
    </row>
    <row r="17" spans="1:3" x14ac:dyDescent="0.25">
      <c r="A17" t="s">
        <v>14</v>
      </c>
      <c r="B17" t="s">
        <v>89</v>
      </c>
      <c r="C17" t="s">
        <v>231</v>
      </c>
    </row>
    <row r="18" spans="1:3" x14ac:dyDescent="0.25">
      <c r="A18" t="s">
        <v>16</v>
      </c>
      <c r="B18" t="s">
        <v>91</v>
      </c>
      <c r="C18" t="s">
        <v>194</v>
      </c>
    </row>
    <row r="19" spans="1:3" x14ac:dyDescent="0.25">
      <c r="A19" t="s">
        <v>14</v>
      </c>
      <c r="B19" t="s">
        <v>356</v>
      </c>
      <c r="C19" t="s">
        <v>162</v>
      </c>
    </row>
    <row r="20" spans="1:3" x14ac:dyDescent="0.25">
      <c r="A20" t="s">
        <v>17</v>
      </c>
      <c r="B20" t="s">
        <v>346</v>
      </c>
      <c r="C20" t="s">
        <v>299</v>
      </c>
    </row>
    <row r="21" spans="1:3" x14ac:dyDescent="0.25">
      <c r="A21" t="s">
        <v>12</v>
      </c>
      <c r="B21" t="s">
        <v>423</v>
      </c>
      <c r="C21" t="s">
        <v>232</v>
      </c>
    </row>
    <row r="22" spans="1:3" x14ac:dyDescent="0.25">
      <c r="A22" t="s">
        <v>12</v>
      </c>
      <c r="B22" t="s">
        <v>21</v>
      </c>
      <c r="C22" t="s">
        <v>275</v>
      </c>
    </row>
    <row r="23" spans="1:3" x14ac:dyDescent="0.25">
      <c r="A23" t="s">
        <v>13</v>
      </c>
      <c r="B23" t="s">
        <v>101</v>
      </c>
      <c r="C23" t="s">
        <v>282</v>
      </c>
    </row>
    <row r="24" spans="1:3" x14ac:dyDescent="0.25">
      <c r="A24" t="s">
        <v>13</v>
      </c>
      <c r="B24" t="s">
        <v>358</v>
      </c>
      <c r="C24" t="s">
        <v>166</v>
      </c>
    </row>
    <row r="25" spans="1:3" x14ac:dyDescent="0.25">
      <c r="A25" t="s">
        <v>12</v>
      </c>
      <c r="B25" t="s">
        <v>411</v>
      </c>
      <c r="C25" t="s">
        <v>228</v>
      </c>
    </row>
    <row r="26" spans="1:3" x14ac:dyDescent="0.25">
      <c r="A26" t="s">
        <v>12</v>
      </c>
      <c r="B26" t="s">
        <v>342</v>
      </c>
      <c r="C26" t="s">
        <v>169</v>
      </c>
    </row>
    <row r="27" spans="1:3" x14ac:dyDescent="0.25">
      <c r="A27" t="s">
        <v>12</v>
      </c>
      <c r="B27" t="s">
        <v>424</v>
      </c>
      <c r="C27" t="s">
        <v>161</v>
      </c>
    </row>
    <row r="28" spans="1:3" x14ac:dyDescent="0.25">
      <c r="A28" t="s">
        <v>12</v>
      </c>
      <c r="B28" t="s">
        <v>426</v>
      </c>
      <c r="C28" t="s">
        <v>264</v>
      </c>
    </row>
    <row r="29" spans="1:3" x14ac:dyDescent="0.25">
      <c r="A29" t="s">
        <v>12</v>
      </c>
      <c r="B29" t="s">
        <v>379</v>
      </c>
      <c r="C29" t="s">
        <v>179</v>
      </c>
    </row>
    <row r="30" spans="1:3" x14ac:dyDescent="0.25">
      <c r="A30" t="s">
        <v>12</v>
      </c>
      <c r="B30" t="s">
        <v>21</v>
      </c>
      <c r="C30" t="s">
        <v>128</v>
      </c>
    </row>
    <row r="31" spans="1:3" x14ac:dyDescent="0.25">
      <c r="A31" t="s">
        <v>12</v>
      </c>
      <c r="B31" t="s">
        <v>62</v>
      </c>
      <c r="C31" t="s">
        <v>310</v>
      </c>
    </row>
    <row r="32" spans="1:3" x14ac:dyDescent="0.25">
      <c r="A32" t="s">
        <v>15</v>
      </c>
      <c r="B32" t="s">
        <v>343</v>
      </c>
      <c r="C32" t="s">
        <v>256</v>
      </c>
    </row>
    <row r="33" spans="1:3" x14ac:dyDescent="0.25">
      <c r="A33" t="s">
        <v>16</v>
      </c>
      <c r="B33" t="s">
        <v>108</v>
      </c>
      <c r="C33" t="s">
        <v>329</v>
      </c>
    </row>
    <row r="34" spans="1:3" x14ac:dyDescent="0.25">
      <c r="A34" t="s">
        <v>12</v>
      </c>
      <c r="B34" t="s">
        <v>61</v>
      </c>
      <c r="C34" t="s">
        <v>130</v>
      </c>
    </row>
    <row r="35" spans="1:3" x14ac:dyDescent="0.25">
      <c r="A35" t="s">
        <v>12</v>
      </c>
      <c r="B35" t="s">
        <v>382</v>
      </c>
      <c r="C35" t="s">
        <v>263</v>
      </c>
    </row>
    <row r="36" spans="1:3" x14ac:dyDescent="0.25">
      <c r="A36" t="s">
        <v>13</v>
      </c>
      <c r="B36" t="s">
        <v>22</v>
      </c>
      <c r="C36" t="s">
        <v>129</v>
      </c>
    </row>
    <row r="37" spans="1:3" x14ac:dyDescent="0.25">
      <c r="A37" t="s">
        <v>14</v>
      </c>
      <c r="B37" t="s">
        <v>87</v>
      </c>
      <c r="C37" t="s">
        <v>249</v>
      </c>
    </row>
    <row r="38" spans="1:3" x14ac:dyDescent="0.25">
      <c r="A38" t="s">
        <v>14</v>
      </c>
      <c r="B38" t="s">
        <v>80</v>
      </c>
      <c r="C38" t="s">
        <v>315</v>
      </c>
    </row>
    <row r="39" spans="1:3" x14ac:dyDescent="0.25">
      <c r="A39" t="s">
        <v>14</v>
      </c>
      <c r="B39" t="s">
        <v>24</v>
      </c>
      <c r="C39" t="s">
        <v>133</v>
      </c>
    </row>
    <row r="40" spans="1:3" x14ac:dyDescent="0.25">
      <c r="A40" t="s">
        <v>14</v>
      </c>
      <c r="B40" t="s">
        <v>23</v>
      </c>
      <c r="C40" t="s">
        <v>317</v>
      </c>
    </row>
    <row r="41" spans="1:3" x14ac:dyDescent="0.25">
      <c r="A41" t="s">
        <v>16</v>
      </c>
      <c r="B41" t="s">
        <v>365</v>
      </c>
      <c r="C41" t="s">
        <v>196</v>
      </c>
    </row>
    <row r="42" spans="1:3" x14ac:dyDescent="0.25">
      <c r="A42" t="s">
        <v>11</v>
      </c>
      <c r="B42" t="s">
        <v>381</v>
      </c>
      <c r="C42" t="s">
        <v>233</v>
      </c>
    </row>
    <row r="43" spans="1:3" x14ac:dyDescent="0.25">
      <c r="A43" t="s">
        <v>12</v>
      </c>
      <c r="B43" t="s">
        <v>379</v>
      </c>
      <c r="C43" t="s">
        <v>217</v>
      </c>
    </row>
    <row r="44" spans="1:3" x14ac:dyDescent="0.25">
      <c r="A44" t="s">
        <v>12</v>
      </c>
      <c r="B44" t="s">
        <v>271</v>
      </c>
      <c r="C44" t="s">
        <v>181</v>
      </c>
    </row>
    <row r="45" spans="1:3" x14ac:dyDescent="0.25">
      <c r="A45" t="s">
        <v>12</v>
      </c>
      <c r="B45" t="s">
        <v>380</v>
      </c>
      <c r="C45" t="s">
        <v>229</v>
      </c>
    </row>
    <row r="46" spans="1:3" x14ac:dyDescent="0.25">
      <c r="A46" t="s">
        <v>13</v>
      </c>
      <c r="B46" t="s">
        <v>361</v>
      </c>
      <c r="C46" t="s">
        <v>360</v>
      </c>
    </row>
    <row r="47" spans="1:3" x14ac:dyDescent="0.25">
      <c r="A47" t="s">
        <v>13</v>
      </c>
      <c r="B47" t="s">
        <v>362</v>
      </c>
      <c r="C47" t="s">
        <v>173</v>
      </c>
    </row>
    <row r="48" spans="1:3" x14ac:dyDescent="0.25">
      <c r="A48" t="s">
        <v>18</v>
      </c>
      <c r="B48" t="s">
        <v>352</v>
      </c>
      <c r="C48" t="s">
        <v>351</v>
      </c>
    </row>
    <row r="49" spans="1:3" x14ac:dyDescent="0.25">
      <c r="A49" t="s">
        <v>12</v>
      </c>
      <c r="B49" t="s">
        <v>51</v>
      </c>
      <c r="C49" t="s">
        <v>177</v>
      </c>
    </row>
    <row r="50" spans="1:3" x14ac:dyDescent="0.25">
      <c r="A50" t="s">
        <v>15</v>
      </c>
      <c r="B50" t="s">
        <v>38</v>
      </c>
      <c r="C50" t="s">
        <v>148</v>
      </c>
    </row>
    <row r="51" spans="1:3" x14ac:dyDescent="0.25">
      <c r="A51" t="s">
        <v>15</v>
      </c>
      <c r="B51" t="s">
        <v>38</v>
      </c>
      <c r="C51" t="s">
        <v>176</v>
      </c>
    </row>
    <row r="52" spans="1:3" x14ac:dyDescent="0.25">
      <c r="A52" t="s">
        <v>15</v>
      </c>
      <c r="B52" t="s">
        <v>38</v>
      </c>
      <c r="C52" t="s">
        <v>149</v>
      </c>
    </row>
    <row r="53" spans="1:3" x14ac:dyDescent="0.25">
      <c r="A53" t="s">
        <v>15</v>
      </c>
      <c r="B53" t="s">
        <v>268</v>
      </c>
      <c r="C53" t="s">
        <v>171</v>
      </c>
    </row>
    <row r="54" spans="1:3" x14ac:dyDescent="0.25">
      <c r="A54" t="s">
        <v>15</v>
      </c>
      <c r="B54" t="s">
        <v>268</v>
      </c>
      <c r="C54" t="s">
        <v>186</v>
      </c>
    </row>
    <row r="55" spans="1:3" x14ac:dyDescent="0.25">
      <c r="A55" t="s">
        <v>17</v>
      </c>
      <c r="B55" t="s">
        <v>68</v>
      </c>
      <c r="C55" t="s">
        <v>285</v>
      </c>
    </row>
    <row r="56" spans="1:3" x14ac:dyDescent="0.25">
      <c r="A56" t="s">
        <v>15</v>
      </c>
      <c r="B56" t="s">
        <v>76</v>
      </c>
      <c r="C56" t="s">
        <v>295</v>
      </c>
    </row>
    <row r="57" spans="1:3" x14ac:dyDescent="0.25">
      <c r="A57" t="s">
        <v>16</v>
      </c>
      <c r="B57" t="s">
        <v>383</v>
      </c>
      <c r="C57" t="s">
        <v>214</v>
      </c>
    </row>
    <row r="58" spans="1:3" x14ac:dyDescent="0.25">
      <c r="A58" t="s">
        <v>16</v>
      </c>
      <c r="B58" t="s">
        <v>366</v>
      </c>
      <c r="C58" t="s">
        <v>138</v>
      </c>
    </row>
    <row r="59" spans="1:3" x14ac:dyDescent="0.25">
      <c r="A59" t="s">
        <v>12</v>
      </c>
      <c r="B59" t="s">
        <v>384</v>
      </c>
      <c r="C59" t="s">
        <v>262</v>
      </c>
    </row>
    <row r="60" spans="1:3" x14ac:dyDescent="0.25">
      <c r="A60" t="s">
        <v>12</v>
      </c>
      <c r="B60" t="s">
        <v>50</v>
      </c>
      <c r="C60" t="s">
        <v>152</v>
      </c>
    </row>
    <row r="61" spans="1:3" x14ac:dyDescent="0.25">
      <c r="A61" t="s">
        <v>11</v>
      </c>
      <c r="B61" t="s">
        <v>73</v>
      </c>
      <c r="C61" t="s">
        <v>291</v>
      </c>
    </row>
    <row r="62" spans="1:3" x14ac:dyDescent="0.25">
      <c r="A62" t="s">
        <v>18</v>
      </c>
      <c r="B62" t="s">
        <v>96</v>
      </c>
      <c r="C62" t="s">
        <v>164</v>
      </c>
    </row>
    <row r="63" spans="1:3" x14ac:dyDescent="0.25">
      <c r="A63" t="s">
        <v>12</v>
      </c>
      <c r="B63" t="s">
        <v>385</v>
      </c>
      <c r="C63" t="s">
        <v>234</v>
      </c>
    </row>
    <row r="64" spans="1:3" x14ac:dyDescent="0.25">
      <c r="A64" t="s">
        <v>336</v>
      </c>
      <c r="B64" t="s">
        <v>336</v>
      </c>
      <c r="C64" t="s">
        <v>235</v>
      </c>
    </row>
    <row r="65" spans="1:3" x14ac:dyDescent="0.25">
      <c r="A65" t="s">
        <v>336</v>
      </c>
      <c r="B65" t="s">
        <v>336</v>
      </c>
      <c r="C65" t="s">
        <v>155</v>
      </c>
    </row>
    <row r="66" spans="1:3" x14ac:dyDescent="0.25">
      <c r="A66" t="s">
        <v>16</v>
      </c>
      <c r="B66" t="s">
        <v>25</v>
      </c>
      <c r="C66" t="s">
        <v>131</v>
      </c>
    </row>
    <row r="67" spans="1:3" x14ac:dyDescent="0.25">
      <c r="A67" t="s">
        <v>14</v>
      </c>
      <c r="B67" t="s">
        <v>85</v>
      </c>
      <c r="C67" t="s">
        <v>322</v>
      </c>
    </row>
    <row r="68" spans="1:3" x14ac:dyDescent="0.25">
      <c r="A68" t="s">
        <v>17</v>
      </c>
      <c r="B68" t="s">
        <v>65</v>
      </c>
      <c r="C68" t="s">
        <v>300</v>
      </c>
    </row>
    <row r="69" spans="1:3" x14ac:dyDescent="0.25">
      <c r="A69" t="s">
        <v>12</v>
      </c>
      <c r="B69" t="s">
        <v>418</v>
      </c>
      <c r="C69" t="s">
        <v>417</v>
      </c>
    </row>
    <row r="70" spans="1:3" x14ac:dyDescent="0.25">
      <c r="A70" t="s">
        <v>12</v>
      </c>
      <c r="B70" t="s">
        <v>31</v>
      </c>
      <c r="C70" t="s">
        <v>210</v>
      </c>
    </row>
    <row r="71" spans="1:3" x14ac:dyDescent="0.25">
      <c r="A71" t="s">
        <v>14</v>
      </c>
      <c r="B71" t="s">
        <v>421</v>
      </c>
      <c r="C71" t="s">
        <v>236</v>
      </c>
    </row>
    <row r="72" spans="1:3" x14ac:dyDescent="0.25">
      <c r="A72" t="s">
        <v>12</v>
      </c>
      <c r="B72" t="s">
        <v>425</v>
      </c>
      <c r="C72" t="s">
        <v>230</v>
      </c>
    </row>
    <row r="73" spans="1:3" x14ac:dyDescent="0.25">
      <c r="A73" t="s">
        <v>13</v>
      </c>
      <c r="B73" t="s">
        <v>368</v>
      </c>
      <c r="C73" t="s">
        <v>367</v>
      </c>
    </row>
    <row r="74" spans="1:3" x14ac:dyDescent="0.25">
      <c r="A74" t="s">
        <v>13</v>
      </c>
      <c r="B74" t="s">
        <v>26</v>
      </c>
      <c r="C74" t="s">
        <v>145</v>
      </c>
    </row>
    <row r="75" spans="1:3" x14ac:dyDescent="0.25">
      <c r="A75" t="s">
        <v>13</v>
      </c>
      <c r="B75" t="s">
        <v>26</v>
      </c>
      <c r="C75" t="s">
        <v>143</v>
      </c>
    </row>
    <row r="76" spans="1:3" x14ac:dyDescent="0.25">
      <c r="A76" t="s">
        <v>13</v>
      </c>
      <c r="B76" t="s">
        <v>388</v>
      </c>
      <c r="C76" t="s">
        <v>248</v>
      </c>
    </row>
    <row r="77" spans="1:3" x14ac:dyDescent="0.25">
      <c r="A77" t="s">
        <v>16</v>
      </c>
      <c r="B77" t="s">
        <v>371</v>
      </c>
      <c r="C77" t="s">
        <v>209</v>
      </c>
    </row>
    <row r="78" spans="1:3" x14ac:dyDescent="0.25">
      <c r="A78" t="s">
        <v>14</v>
      </c>
      <c r="B78" t="s">
        <v>80</v>
      </c>
      <c r="C78" t="s">
        <v>316</v>
      </c>
    </row>
    <row r="79" spans="1:3" x14ac:dyDescent="0.25">
      <c r="A79" t="s">
        <v>13</v>
      </c>
      <c r="B79" t="s">
        <v>387</v>
      </c>
      <c r="C79" t="s">
        <v>386</v>
      </c>
    </row>
    <row r="80" spans="1:3" x14ac:dyDescent="0.25">
      <c r="A80" t="s">
        <v>13</v>
      </c>
      <c r="B80" t="s">
        <v>400</v>
      </c>
      <c r="C80" t="s">
        <v>241</v>
      </c>
    </row>
    <row r="81" spans="1:3" x14ac:dyDescent="0.25">
      <c r="A81" t="s">
        <v>18</v>
      </c>
      <c r="B81" t="s">
        <v>401</v>
      </c>
      <c r="C81" t="s">
        <v>237</v>
      </c>
    </row>
    <row r="82" spans="1:3" x14ac:dyDescent="0.25">
      <c r="A82" t="s">
        <v>13</v>
      </c>
      <c r="B82" t="s">
        <v>402</v>
      </c>
      <c r="C82" t="s">
        <v>175</v>
      </c>
    </row>
    <row r="83" spans="1:3" x14ac:dyDescent="0.25">
      <c r="A83" t="s">
        <v>16</v>
      </c>
      <c r="B83" t="s">
        <v>105</v>
      </c>
      <c r="C83" t="s">
        <v>326</v>
      </c>
    </row>
    <row r="84" spans="1:3" x14ac:dyDescent="0.25">
      <c r="A84" t="s">
        <v>14</v>
      </c>
      <c r="B84" t="s">
        <v>403</v>
      </c>
      <c r="C84" t="s">
        <v>250</v>
      </c>
    </row>
    <row r="85" spans="1:3" x14ac:dyDescent="0.25">
      <c r="A85" t="s">
        <v>12</v>
      </c>
      <c r="B85" t="s">
        <v>21</v>
      </c>
      <c r="C85" t="s">
        <v>168</v>
      </c>
    </row>
    <row r="86" spans="1:3" x14ac:dyDescent="0.25">
      <c r="A86" t="s">
        <v>12</v>
      </c>
      <c r="B86" t="s">
        <v>404</v>
      </c>
      <c r="C86" t="s">
        <v>238</v>
      </c>
    </row>
    <row r="87" spans="1:3" x14ac:dyDescent="0.25">
      <c r="A87" t="s">
        <v>17</v>
      </c>
      <c r="B87" t="s">
        <v>27</v>
      </c>
      <c r="C87" t="s">
        <v>312</v>
      </c>
    </row>
    <row r="88" spans="1:3" x14ac:dyDescent="0.25">
      <c r="A88" t="s">
        <v>12</v>
      </c>
      <c r="B88" t="s">
        <v>63</v>
      </c>
      <c r="C88" t="s">
        <v>311</v>
      </c>
    </row>
    <row r="89" spans="1:3" x14ac:dyDescent="0.25">
      <c r="A89" t="s">
        <v>16</v>
      </c>
      <c r="B89" t="s">
        <v>28</v>
      </c>
      <c r="C89" t="s">
        <v>184</v>
      </c>
    </row>
    <row r="90" spans="1:3" x14ac:dyDescent="0.25">
      <c r="A90" t="s">
        <v>16</v>
      </c>
      <c r="B90" t="s">
        <v>28</v>
      </c>
      <c r="C90" t="s">
        <v>134</v>
      </c>
    </row>
    <row r="91" spans="1:3" x14ac:dyDescent="0.25">
      <c r="A91" t="s">
        <v>13</v>
      </c>
      <c r="B91" t="s">
        <v>29</v>
      </c>
      <c r="C91" t="s">
        <v>135</v>
      </c>
    </row>
    <row r="92" spans="1:3" x14ac:dyDescent="0.25">
      <c r="A92" t="s">
        <v>13</v>
      </c>
      <c r="B92" t="s">
        <v>391</v>
      </c>
      <c r="C92" t="s">
        <v>204</v>
      </c>
    </row>
    <row r="93" spans="1:3" x14ac:dyDescent="0.25">
      <c r="A93" t="s">
        <v>13</v>
      </c>
      <c r="B93" t="s">
        <v>100</v>
      </c>
      <c r="C93" t="s">
        <v>283</v>
      </c>
    </row>
    <row r="94" spans="1:3" x14ac:dyDescent="0.25">
      <c r="A94" t="s">
        <v>15</v>
      </c>
      <c r="B94" t="s">
        <v>390</v>
      </c>
      <c r="C94" t="s">
        <v>389</v>
      </c>
    </row>
    <row r="95" spans="1:3" x14ac:dyDescent="0.25">
      <c r="A95" t="s">
        <v>12</v>
      </c>
      <c r="B95" t="s">
        <v>357</v>
      </c>
      <c r="C95" t="s">
        <v>163</v>
      </c>
    </row>
    <row r="96" spans="1:3" x14ac:dyDescent="0.25">
      <c r="A96" t="s">
        <v>14</v>
      </c>
      <c r="B96" t="s">
        <v>30</v>
      </c>
      <c r="C96" t="s">
        <v>318</v>
      </c>
    </row>
    <row r="97" spans="1:3" x14ac:dyDescent="0.25">
      <c r="A97" t="s">
        <v>12</v>
      </c>
      <c r="B97" t="s">
        <v>353</v>
      </c>
      <c r="C97" t="s">
        <v>151</v>
      </c>
    </row>
    <row r="98" spans="1:3" x14ac:dyDescent="0.25">
      <c r="A98" t="s">
        <v>12</v>
      </c>
      <c r="B98" t="s">
        <v>31</v>
      </c>
      <c r="C98" t="s">
        <v>305</v>
      </c>
    </row>
    <row r="99" spans="1:3" x14ac:dyDescent="0.25">
      <c r="A99" t="s">
        <v>12</v>
      </c>
      <c r="B99" t="s">
        <v>405</v>
      </c>
      <c r="C99" t="s">
        <v>265</v>
      </c>
    </row>
    <row r="100" spans="1:3" x14ac:dyDescent="0.25">
      <c r="A100" t="s">
        <v>11</v>
      </c>
      <c r="B100" t="s">
        <v>19</v>
      </c>
      <c r="C100" t="s">
        <v>293</v>
      </c>
    </row>
    <row r="101" spans="1:3" x14ac:dyDescent="0.25">
      <c r="A101" t="s">
        <v>12</v>
      </c>
      <c r="B101" t="s">
        <v>392</v>
      </c>
      <c r="C101" t="s">
        <v>218</v>
      </c>
    </row>
    <row r="102" spans="1:3" x14ac:dyDescent="0.25">
      <c r="A102" t="s">
        <v>14</v>
      </c>
      <c r="B102" t="s">
        <v>80</v>
      </c>
      <c r="C102" t="s">
        <v>205</v>
      </c>
    </row>
    <row r="103" spans="1:3" x14ac:dyDescent="0.25">
      <c r="A103" t="s">
        <v>13</v>
      </c>
      <c r="B103" t="s">
        <v>354</v>
      </c>
      <c r="C103" t="s">
        <v>355</v>
      </c>
    </row>
    <row r="104" spans="1:3" x14ac:dyDescent="0.25">
      <c r="A104" t="s">
        <v>13</v>
      </c>
      <c r="B104" t="s">
        <v>364</v>
      </c>
      <c r="C104" t="s">
        <v>195</v>
      </c>
    </row>
    <row r="105" spans="1:3" x14ac:dyDescent="0.25">
      <c r="A105" t="s">
        <v>13</v>
      </c>
      <c r="B105" t="s">
        <v>354</v>
      </c>
      <c r="C105" t="s">
        <v>137</v>
      </c>
    </row>
    <row r="106" spans="1:3" x14ac:dyDescent="0.25">
      <c r="A106" t="s">
        <v>14</v>
      </c>
      <c r="B106" t="s">
        <v>32</v>
      </c>
      <c r="C106" t="s">
        <v>199</v>
      </c>
    </row>
    <row r="107" spans="1:3" x14ac:dyDescent="0.25">
      <c r="A107" t="s">
        <v>14</v>
      </c>
      <c r="B107" t="s">
        <v>33</v>
      </c>
      <c r="C107" t="s">
        <v>320</v>
      </c>
    </row>
    <row r="108" spans="1:3" x14ac:dyDescent="0.25">
      <c r="A108" t="s">
        <v>13</v>
      </c>
      <c r="B108" t="s">
        <v>270</v>
      </c>
      <c r="C108" t="s">
        <v>191</v>
      </c>
    </row>
    <row r="109" spans="1:3" x14ac:dyDescent="0.25">
      <c r="A109" t="s">
        <v>13</v>
      </c>
      <c r="B109" t="s">
        <v>270</v>
      </c>
      <c r="C109" t="s">
        <v>337</v>
      </c>
    </row>
    <row r="110" spans="1:3" x14ac:dyDescent="0.25">
      <c r="A110" t="s">
        <v>13</v>
      </c>
      <c r="B110" t="s">
        <v>270</v>
      </c>
      <c r="C110" t="s">
        <v>281</v>
      </c>
    </row>
    <row r="111" spans="1:3" x14ac:dyDescent="0.25">
      <c r="A111" t="s">
        <v>16</v>
      </c>
      <c r="B111" t="s">
        <v>393</v>
      </c>
      <c r="C111" t="s">
        <v>206</v>
      </c>
    </row>
    <row r="112" spans="1:3" x14ac:dyDescent="0.25">
      <c r="A112" t="s">
        <v>11</v>
      </c>
      <c r="B112" t="s">
        <v>372</v>
      </c>
      <c r="C112" t="s">
        <v>247</v>
      </c>
    </row>
    <row r="113" spans="1:3" x14ac:dyDescent="0.25">
      <c r="A113" t="s">
        <v>14</v>
      </c>
      <c r="B113" t="s">
        <v>394</v>
      </c>
      <c r="C113" t="s">
        <v>259</v>
      </c>
    </row>
    <row r="114" spans="1:3" x14ac:dyDescent="0.25">
      <c r="A114" t="s">
        <v>15</v>
      </c>
      <c r="B114" t="s">
        <v>78</v>
      </c>
      <c r="C114" t="s">
        <v>276</v>
      </c>
    </row>
    <row r="115" spans="1:3" x14ac:dyDescent="0.25">
      <c r="A115" t="s">
        <v>14</v>
      </c>
      <c r="B115" t="s">
        <v>359</v>
      </c>
      <c r="C115" t="s">
        <v>172</v>
      </c>
    </row>
    <row r="116" spans="1:3" x14ac:dyDescent="0.25">
      <c r="A116" t="s">
        <v>18</v>
      </c>
      <c r="B116" t="s">
        <v>34</v>
      </c>
      <c r="C116" t="s">
        <v>165</v>
      </c>
    </row>
    <row r="117" spans="1:3" x14ac:dyDescent="0.25">
      <c r="A117" t="s">
        <v>11</v>
      </c>
      <c r="B117" t="s">
        <v>35</v>
      </c>
      <c r="C117" t="s">
        <v>222</v>
      </c>
    </row>
    <row r="118" spans="1:3" x14ac:dyDescent="0.25">
      <c r="A118" t="s">
        <v>18</v>
      </c>
      <c r="B118" t="s">
        <v>36</v>
      </c>
      <c r="C118" t="s">
        <v>224</v>
      </c>
    </row>
    <row r="119" spans="1:3" x14ac:dyDescent="0.25">
      <c r="A119" t="s">
        <v>11</v>
      </c>
      <c r="B119" t="s">
        <v>398</v>
      </c>
      <c r="C119" t="s">
        <v>189</v>
      </c>
    </row>
    <row r="120" spans="1:3" x14ac:dyDescent="0.25">
      <c r="A120" t="s">
        <v>18</v>
      </c>
      <c r="B120" t="s">
        <v>98</v>
      </c>
      <c r="C120" t="s">
        <v>330</v>
      </c>
    </row>
    <row r="121" spans="1:3" x14ac:dyDescent="0.25">
      <c r="A121" t="s">
        <v>18</v>
      </c>
      <c r="B121" t="s">
        <v>98</v>
      </c>
      <c r="C121" t="s">
        <v>188</v>
      </c>
    </row>
    <row r="122" spans="1:3" x14ac:dyDescent="0.25">
      <c r="A122" t="s">
        <v>15</v>
      </c>
      <c r="B122" t="s">
        <v>37</v>
      </c>
      <c r="C122" t="s">
        <v>296</v>
      </c>
    </row>
    <row r="123" spans="1:3" x14ac:dyDescent="0.25">
      <c r="A123" t="s">
        <v>15</v>
      </c>
      <c r="B123" t="s">
        <v>37</v>
      </c>
      <c r="C123" t="s">
        <v>339</v>
      </c>
    </row>
    <row r="124" spans="1:3" x14ac:dyDescent="0.25">
      <c r="A124" t="s">
        <v>15</v>
      </c>
      <c r="B124" t="s">
        <v>56</v>
      </c>
      <c r="C124" t="s">
        <v>297</v>
      </c>
    </row>
    <row r="125" spans="1:3" x14ac:dyDescent="0.25">
      <c r="A125" t="s">
        <v>12</v>
      </c>
      <c r="B125" t="s">
        <v>39</v>
      </c>
      <c r="C125" t="s">
        <v>307</v>
      </c>
    </row>
    <row r="126" spans="1:3" x14ac:dyDescent="0.25">
      <c r="A126" t="s">
        <v>15</v>
      </c>
      <c r="B126" t="s">
        <v>397</v>
      </c>
      <c r="C126" t="s">
        <v>220</v>
      </c>
    </row>
    <row r="127" spans="1:3" x14ac:dyDescent="0.25">
      <c r="A127" t="s">
        <v>14</v>
      </c>
      <c r="B127" t="s">
        <v>86</v>
      </c>
      <c r="C127" t="s">
        <v>323</v>
      </c>
    </row>
    <row r="128" spans="1:3" x14ac:dyDescent="0.25">
      <c r="A128" t="s">
        <v>336</v>
      </c>
      <c r="B128" t="s">
        <v>336</v>
      </c>
      <c r="C128" t="s">
        <v>153</v>
      </c>
    </row>
    <row r="129" spans="1:3" x14ac:dyDescent="0.25">
      <c r="A129" t="s">
        <v>14</v>
      </c>
      <c r="B129" t="s">
        <v>84</v>
      </c>
      <c r="C129" t="s">
        <v>321</v>
      </c>
    </row>
    <row r="130" spans="1:3" x14ac:dyDescent="0.25">
      <c r="A130" t="s">
        <v>17</v>
      </c>
      <c r="B130" t="s">
        <v>71</v>
      </c>
      <c r="C130" t="s">
        <v>288</v>
      </c>
    </row>
    <row r="131" spans="1:3" x14ac:dyDescent="0.25">
      <c r="A131" t="s">
        <v>15</v>
      </c>
      <c r="B131" t="s">
        <v>420</v>
      </c>
      <c r="C131" t="s">
        <v>419</v>
      </c>
    </row>
    <row r="132" spans="1:3" x14ac:dyDescent="0.25">
      <c r="A132" t="s">
        <v>11</v>
      </c>
      <c r="B132" t="s">
        <v>74</v>
      </c>
      <c r="C132" t="s">
        <v>292</v>
      </c>
    </row>
    <row r="133" spans="1:3" x14ac:dyDescent="0.25">
      <c r="A133" t="s">
        <v>336</v>
      </c>
      <c r="B133" t="s">
        <v>336</v>
      </c>
      <c r="C133" t="s">
        <v>200</v>
      </c>
    </row>
    <row r="134" spans="1:3" x14ac:dyDescent="0.25">
      <c r="A134" t="s">
        <v>14</v>
      </c>
      <c r="B134" t="s">
        <v>89</v>
      </c>
      <c r="C134" t="s">
        <v>154</v>
      </c>
    </row>
    <row r="135" spans="1:3" x14ac:dyDescent="0.25">
      <c r="A135" t="s">
        <v>15</v>
      </c>
      <c r="B135" t="s">
        <v>40</v>
      </c>
      <c r="C135" t="s">
        <v>298</v>
      </c>
    </row>
    <row r="136" spans="1:3" x14ac:dyDescent="0.25">
      <c r="A136" t="s">
        <v>14</v>
      </c>
      <c r="B136" t="s">
        <v>89</v>
      </c>
      <c r="C136" t="s">
        <v>261</v>
      </c>
    </row>
    <row r="137" spans="1:3" x14ac:dyDescent="0.25">
      <c r="A137" t="s">
        <v>16</v>
      </c>
      <c r="B137" t="s">
        <v>94</v>
      </c>
      <c r="C137" t="s">
        <v>327</v>
      </c>
    </row>
    <row r="138" spans="1:3" x14ac:dyDescent="0.25">
      <c r="A138" t="s">
        <v>12</v>
      </c>
      <c r="B138" t="s">
        <v>427</v>
      </c>
      <c r="C138" t="s">
        <v>428</v>
      </c>
    </row>
    <row r="139" spans="1:3" x14ac:dyDescent="0.25">
      <c r="A139" t="s">
        <v>16</v>
      </c>
      <c r="B139" t="s">
        <v>395</v>
      </c>
      <c r="C139" t="s">
        <v>240</v>
      </c>
    </row>
    <row r="140" spans="1:3" x14ac:dyDescent="0.25">
      <c r="A140" t="s">
        <v>14</v>
      </c>
      <c r="B140" t="s">
        <v>363</v>
      </c>
      <c r="C140" t="s">
        <v>180</v>
      </c>
    </row>
    <row r="141" spans="1:3" x14ac:dyDescent="0.25">
      <c r="A141" t="s">
        <v>16</v>
      </c>
      <c r="B141" t="s">
        <v>396</v>
      </c>
      <c r="C141" t="s">
        <v>202</v>
      </c>
    </row>
    <row r="142" spans="1:3" x14ac:dyDescent="0.25">
      <c r="A142" t="s">
        <v>15</v>
      </c>
      <c r="B142" t="s">
        <v>41</v>
      </c>
      <c r="C142" t="s">
        <v>144</v>
      </c>
    </row>
    <row r="143" spans="1:3" x14ac:dyDescent="0.25">
      <c r="A143" t="s">
        <v>12</v>
      </c>
      <c r="B143" t="s">
        <v>59</v>
      </c>
      <c r="C143" t="s">
        <v>245</v>
      </c>
    </row>
    <row r="144" spans="1:3" x14ac:dyDescent="0.25">
      <c r="A144" t="s">
        <v>12</v>
      </c>
      <c r="B144" t="s">
        <v>58</v>
      </c>
      <c r="C144" t="s">
        <v>308</v>
      </c>
    </row>
    <row r="145" spans="1:3" x14ac:dyDescent="0.25">
      <c r="A145" t="s">
        <v>16</v>
      </c>
      <c r="B145" t="s">
        <v>42</v>
      </c>
      <c r="C145" t="s">
        <v>132</v>
      </c>
    </row>
    <row r="146" spans="1:3" x14ac:dyDescent="0.25">
      <c r="A146" t="s">
        <v>15</v>
      </c>
      <c r="B146" t="s">
        <v>43</v>
      </c>
      <c r="C146" t="s">
        <v>178</v>
      </c>
    </row>
    <row r="147" spans="1:3" x14ac:dyDescent="0.25">
      <c r="A147" t="s">
        <v>15</v>
      </c>
      <c r="B147" t="s">
        <v>43</v>
      </c>
      <c r="C147" t="s">
        <v>182</v>
      </c>
    </row>
    <row r="148" spans="1:3" x14ac:dyDescent="0.25">
      <c r="A148" t="s">
        <v>15</v>
      </c>
      <c r="B148" t="s">
        <v>43</v>
      </c>
      <c r="C148" t="s">
        <v>208</v>
      </c>
    </row>
    <row r="149" spans="1:3" x14ac:dyDescent="0.25">
      <c r="A149" t="s">
        <v>15</v>
      </c>
      <c r="B149" t="s">
        <v>43</v>
      </c>
      <c r="C149" t="s">
        <v>150</v>
      </c>
    </row>
    <row r="150" spans="1:3" x14ac:dyDescent="0.25">
      <c r="A150" t="s">
        <v>12</v>
      </c>
      <c r="B150" t="s">
        <v>429</v>
      </c>
      <c r="C150" t="s">
        <v>430</v>
      </c>
    </row>
    <row r="151" spans="1:3" x14ac:dyDescent="0.25">
      <c r="A151" t="s">
        <v>12</v>
      </c>
      <c r="B151" t="s">
        <v>399</v>
      </c>
      <c r="C151" t="s">
        <v>227</v>
      </c>
    </row>
    <row r="152" spans="1:3" x14ac:dyDescent="0.25">
      <c r="A152" t="s">
        <v>12</v>
      </c>
      <c r="B152" t="s">
        <v>57</v>
      </c>
      <c r="C152" t="s">
        <v>306</v>
      </c>
    </row>
    <row r="153" spans="1:3" x14ac:dyDescent="0.25">
      <c r="A153" t="s">
        <v>16</v>
      </c>
      <c r="B153" t="s">
        <v>95</v>
      </c>
      <c r="C153" t="s">
        <v>211</v>
      </c>
    </row>
    <row r="154" spans="1:3" x14ac:dyDescent="0.25">
      <c r="A154" t="s">
        <v>15</v>
      </c>
      <c r="B154" t="s">
        <v>79</v>
      </c>
      <c r="C154" t="s">
        <v>314</v>
      </c>
    </row>
    <row r="155" spans="1:3" x14ac:dyDescent="0.25">
      <c r="A155" t="s">
        <v>12</v>
      </c>
      <c r="B155" t="s">
        <v>60</v>
      </c>
      <c r="C155" t="s">
        <v>309</v>
      </c>
    </row>
    <row r="156" spans="1:3" x14ac:dyDescent="0.25">
      <c r="A156" t="s">
        <v>11</v>
      </c>
      <c r="B156" t="s">
        <v>340</v>
      </c>
      <c r="C156" t="s">
        <v>341</v>
      </c>
    </row>
    <row r="157" spans="1:3" x14ac:dyDescent="0.25">
      <c r="A157" t="s">
        <v>11</v>
      </c>
      <c r="B157" t="s">
        <v>340</v>
      </c>
      <c r="C157" t="s">
        <v>197</v>
      </c>
    </row>
    <row r="158" spans="1:3" x14ac:dyDescent="0.25">
      <c r="A158" t="s">
        <v>17</v>
      </c>
      <c r="B158" t="s">
        <v>345</v>
      </c>
      <c r="C158" t="s">
        <v>301</v>
      </c>
    </row>
    <row r="159" spans="1:3" x14ac:dyDescent="0.25">
      <c r="A159" t="s">
        <v>16</v>
      </c>
      <c r="B159" t="s">
        <v>344</v>
      </c>
      <c r="C159" t="s">
        <v>328</v>
      </c>
    </row>
    <row r="160" spans="1:3" x14ac:dyDescent="0.25">
      <c r="A160" t="s">
        <v>12</v>
      </c>
      <c r="B160" t="s">
        <v>349</v>
      </c>
      <c r="C160" t="s">
        <v>348</v>
      </c>
    </row>
    <row r="161" spans="1:3" x14ac:dyDescent="0.25">
      <c r="A161" t="s">
        <v>12</v>
      </c>
      <c r="B161" t="s">
        <v>349</v>
      </c>
      <c r="C161" t="s">
        <v>158</v>
      </c>
    </row>
    <row r="162" spans="1:3" x14ac:dyDescent="0.25">
      <c r="A162" t="s">
        <v>18</v>
      </c>
      <c r="B162" t="s">
        <v>99</v>
      </c>
      <c r="C162" t="s">
        <v>198</v>
      </c>
    </row>
    <row r="163" spans="1:3" x14ac:dyDescent="0.25">
      <c r="A163" t="s">
        <v>13</v>
      </c>
      <c r="B163" t="s">
        <v>370</v>
      </c>
      <c r="C163" t="s">
        <v>369</v>
      </c>
    </row>
    <row r="164" spans="1:3" x14ac:dyDescent="0.25">
      <c r="A164" t="s">
        <v>15</v>
      </c>
      <c r="B164" t="s">
        <v>55</v>
      </c>
      <c r="C164" t="s">
        <v>193</v>
      </c>
    </row>
    <row r="165" spans="1:3" x14ac:dyDescent="0.25">
      <c r="A165" t="s">
        <v>14</v>
      </c>
      <c r="B165" t="s">
        <v>106</v>
      </c>
      <c r="C165" t="s">
        <v>325</v>
      </c>
    </row>
    <row r="166" spans="1:3" x14ac:dyDescent="0.25">
      <c r="A166" t="s">
        <v>15</v>
      </c>
      <c r="B166" t="s">
        <v>413</v>
      </c>
      <c r="C166" t="s">
        <v>260</v>
      </c>
    </row>
    <row r="167" spans="1:3" x14ac:dyDescent="0.25">
      <c r="A167" t="s">
        <v>12</v>
      </c>
      <c r="B167" t="s">
        <v>412</v>
      </c>
      <c r="C167" t="s">
        <v>203</v>
      </c>
    </row>
    <row r="168" spans="1:3" x14ac:dyDescent="0.25">
      <c r="A168" t="s">
        <v>13</v>
      </c>
      <c r="B168" t="s">
        <v>406</v>
      </c>
      <c r="C168" t="s">
        <v>242</v>
      </c>
    </row>
    <row r="169" spans="1:3" x14ac:dyDescent="0.25">
      <c r="A169" t="s">
        <v>14</v>
      </c>
      <c r="B169" t="s">
        <v>83</v>
      </c>
      <c r="C169" t="s">
        <v>246</v>
      </c>
    </row>
    <row r="170" spans="1:3" x14ac:dyDescent="0.25">
      <c r="A170" t="s">
        <v>12</v>
      </c>
      <c r="B170" t="s">
        <v>416</v>
      </c>
      <c r="C170" t="s">
        <v>239</v>
      </c>
    </row>
    <row r="171" spans="1:3" x14ac:dyDescent="0.25">
      <c r="A171" t="s">
        <v>18</v>
      </c>
      <c r="B171" t="s">
        <v>269</v>
      </c>
      <c r="C171" t="s">
        <v>142</v>
      </c>
    </row>
    <row r="172" spans="1:3" x14ac:dyDescent="0.25">
      <c r="A172" t="s">
        <v>16</v>
      </c>
      <c r="B172" t="s">
        <v>350</v>
      </c>
      <c r="C172" t="s">
        <v>139</v>
      </c>
    </row>
    <row r="173" spans="1:3" x14ac:dyDescent="0.25">
      <c r="A173" t="s">
        <v>18</v>
      </c>
      <c r="B173" t="s">
        <v>96</v>
      </c>
      <c r="C173" t="s">
        <v>136</v>
      </c>
    </row>
    <row r="174" spans="1:3" x14ac:dyDescent="0.25">
      <c r="A174" t="s">
        <v>18</v>
      </c>
      <c r="B174" t="s">
        <v>96</v>
      </c>
      <c r="C174" t="s">
        <v>331</v>
      </c>
    </row>
    <row r="175" spans="1:3" x14ac:dyDescent="0.25">
      <c r="A175" t="s">
        <v>14</v>
      </c>
      <c r="B175" t="s">
        <v>81</v>
      </c>
      <c r="C175" t="s">
        <v>258</v>
      </c>
    </row>
    <row r="176" spans="1:3" x14ac:dyDescent="0.25">
      <c r="A176" t="s">
        <v>17</v>
      </c>
      <c r="B176" t="s">
        <v>66</v>
      </c>
      <c r="C176" t="s">
        <v>302</v>
      </c>
    </row>
    <row r="177" spans="1:3" x14ac:dyDescent="0.25">
      <c r="A177" t="s">
        <v>13</v>
      </c>
      <c r="B177" t="s">
        <v>373</v>
      </c>
      <c r="C177" t="s">
        <v>219</v>
      </c>
    </row>
    <row r="178" spans="1:3" x14ac:dyDescent="0.25">
      <c r="A178" t="s">
        <v>16</v>
      </c>
      <c r="B178" t="s">
        <v>93</v>
      </c>
      <c r="C178" t="s">
        <v>201</v>
      </c>
    </row>
    <row r="179" spans="1:3" x14ac:dyDescent="0.25">
      <c r="A179" t="s">
        <v>16</v>
      </c>
      <c r="B179" t="s">
        <v>93</v>
      </c>
      <c r="C179" t="s">
        <v>338</v>
      </c>
    </row>
    <row r="180" spans="1:3" x14ac:dyDescent="0.25">
      <c r="A180" t="s">
        <v>12</v>
      </c>
      <c r="B180" t="s">
        <v>90</v>
      </c>
      <c r="C180" t="s">
        <v>192</v>
      </c>
    </row>
    <row r="181" spans="1:3" x14ac:dyDescent="0.25">
      <c r="A181" t="s">
        <v>12</v>
      </c>
      <c r="B181" t="s">
        <v>431</v>
      </c>
      <c r="C181" t="s">
        <v>432</v>
      </c>
    </row>
    <row r="182" spans="1:3" x14ac:dyDescent="0.25">
      <c r="A182" t="s">
        <v>16</v>
      </c>
      <c r="B182" t="s">
        <v>92</v>
      </c>
      <c r="C182" t="s">
        <v>140</v>
      </c>
    </row>
    <row r="183" spans="1:3" x14ac:dyDescent="0.25">
      <c r="A183" t="s">
        <v>15</v>
      </c>
      <c r="B183" t="s">
        <v>44</v>
      </c>
      <c r="C183" t="s">
        <v>147</v>
      </c>
    </row>
    <row r="184" spans="1:3" x14ac:dyDescent="0.25">
      <c r="A184" t="s">
        <v>12</v>
      </c>
      <c r="B184" t="s">
        <v>353</v>
      </c>
      <c r="C184" t="s">
        <v>225</v>
      </c>
    </row>
    <row r="185" spans="1:3" x14ac:dyDescent="0.25">
      <c r="A185" t="s">
        <v>15</v>
      </c>
      <c r="B185" t="s">
        <v>44</v>
      </c>
      <c r="C185" t="s">
        <v>251</v>
      </c>
    </row>
    <row r="186" spans="1:3" x14ac:dyDescent="0.25">
      <c r="A186" t="s">
        <v>12</v>
      </c>
      <c r="B186" t="s">
        <v>374</v>
      </c>
      <c r="C186" t="s">
        <v>159</v>
      </c>
    </row>
    <row r="187" spans="1:3" x14ac:dyDescent="0.25">
      <c r="A187" t="s">
        <v>12</v>
      </c>
      <c r="B187" t="s">
        <v>375</v>
      </c>
      <c r="C187" t="s">
        <v>243</v>
      </c>
    </row>
    <row r="188" spans="1:3" x14ac:dyDescent="0.25">
      <c r="A188" t="s">
        <v>12</v>
      </c>
      <c r="B188" t="s">
        <v>376</v>
      </c>
      <c r="C188" t="s">
        <v>183</v>
      </c>
    </row>
    <row r="189" spans="1:3" x14ac:dyDescent="0.25">
      <c r="A189" t="s">
        <v>17</v>
      </c>
      <c r="B189" t="s">
        <v>70</v>
      </c>
      <c r="C189" t="s">
        <v>286</v>
      </c>
    </row>
    <row r="190" spans="1:3" x14ac:dyDescent="0.25">
      <c r="A190" t="s">
        <v>17</v>
      </c>
      <c r="B190" t="s">
        <v>68</v>
      </c>
      <c r="C190" t="s">
        <v>304</v>
      </c>
    </row>
    <row r="191" spans="1:3" x14ac:dyDescent="0.25">
      <c r="A191" t="s">
        <v>17</v>
      </c>
      <c r="B191" t="s">
        <v>69</v>
      </c>
      <c r="C191" t="s">
        <v>284</v>
      </c>
    </row>
    <row r="192" spans="1:3" x14ac:dyDescent="0.25">
      <c r="A192" t="s">
        <v>17</v>
      </c>
      <c r="B192" t="s">
        <v>67</v>
      </c>
      <c r="C192" t="s">
        <v>303</v>
      </c>
    </row>
    <row r="193" spans="1:3" x14ac:dyDescent="0.25">
      <c r="A193" t="s">
        <v>18</v>
      </c>
      <c r="B193" t="s">
        <v>107</v>
      </c>
      <c r="C193" t="s">
        <v>332</v>
      </c>
    </row>
    <row r="194" spans="1:3" x14ac:dyDescent="0.25">
      <c r="A194" t="s">
        <v>15</v>
      </c>
      <c r="B194" t="s">
        <v>266</v>
      </c>
      <c r="C194" t="s">
        <v>313</v>
      </c>
    </row>
    <row r="195" spans="1:3" x14ac:dyDescent="0.25">
      <c r="A195" t="s">
        <v>11</v>
      </c>
      <c r="B195" t="s">
        <v>45</v>
      </c>
      <c r="C195" t="s">
        <v>290</v>
      </c>
    </row>
    <row r="196" spans="1:3" x14ac:dyDescent="0.25">
      <c r="A196" t="s">
        <v>15</v>
      </c>
      <c r="B196" t="s">
        <v>433</v>
      </c>
      <c r="C196" t="s">
        <v>434</v>
      </c>
    </row>
    <row r="197" spans="1:3" x14ac:dyDescent="0.25">
      <c r="A197" t="s">
        <v>15</v>
      </c>
      <c r="B197" t="s">
        <v>435</v>
      </c>
      <c r="C197" t="s">
        <v>436</v>
      </c>
    </row>
    <row r="198" spans="1:3" x14ac:dyDescent="0.25">
      <c r="A198" t="s">
        <v>12</v>
      </c>
      <c r="B198" t="s">
        <v>410</v>
      </c>
      <c r="C198" t="s">
        <v>244</v>
      </c>
    </row>
    <row r="199" spans="1:3" x14ac:dyDescent="0.25">
      <c r="A199" t="s">
        <v>14</v>
      </c>
      <c r="B199" t="s">
        <v>88</v>
      </c>
      <c r="C199" t="s">
        <v>324</v>
      </c>
    </row>
    <row r="200" spans="1:3" x14ac:dyDescent="0.25">
      <c r="A200" t="s">
        <v>11</v>
      </c>
      <c r="B200" t="s">
        <v>377</v>
      </c>
      <c r="C200" t="s">
        <v>223</v>
      </c>
    </row>
    <row r="201" spans="1:3" x14ac:dyDescent="0.25">
      <c r="A201" t="s">
        <v>16</v>
      </c>
      <c r="B201" t="s">
        <v>409</v>
      </c>
      <c r="C201" t="s">
        <v>207</v>
      </c>
    </row>
    <row r="202" spans="1:3" x14ac:dyDescent="0.25">
      <c r="A202" t="s">
        <v>18</v>
      </c>
      <c r="B202" t="s">
        <v>267</v>
      </c>
      <c r="C202" t="s">
        <v>187</v>
      </c>
    </row>
    <row r="203" spans="1:3" x14ac:dyDescent="0.25">
      <c r="A203" t="s">
        <v>16</v>
      </c>
      <c r="B203" t="s">
        <v>408</v>
      </c>
      <c r="C203" t="s">
        <v>221</v>
      </c>
    </row>
    <row r="204" spans="1:3" x14ac:dyDescent="0.25">
      <c r="A204" t="s">
        <v>12</v>
      </c>
      <c r="B204" t="s">
        <v>347</v>
      </c>
      <c r="C204" t="s">
        <v>141</v>
      </c>
    </row>
    <row r="205" spans="1:3" x14ac:dyDescent="0.25">
      <c r="A205" t="s">
        <v>15</v>
      </c>
      <c r="B205" t="s">
        <v>407</v>
      </c>
      <c r="C205" t="s">
        <v>257</v>
      </c>
    </row>
    <row r="206" spans="1:3" x14ac:dyDescent="0.25">
      <c r="A206" t="s">
        <v>15</v>
      </c>
      <c r="B206" t="s">
        <v>437</v>
      </c>
      <c r="C206" t="s">
        <v>438</v>
      </c>
    </row>
    <row r="207" spans="1:3" x14ac:dyDescent="0.25">
      <c r="A207" t="s">
        <v>13</v>
      </c>
      <c r="B207" t="s">
        <v>361</v>
      </c>
      <c r="C207" t="s">
        <v>174</v>
      </c>
    </row>
    <row r="208" spans="1:3" x14ac:dyDescent="0.25">
      <c r="A208" t="s">
        <v>13</v>
      </c>
      <c r="B208" t="s">
        <v>102</v>
      </c>
      <c r="C208" t="s">
        <v>280</v>
      </c>
    </row>
    <row r="209" spans="1:3" x14ac:dyDescent="0.25">
      <c r="A209" t="s">
        <v>15</v>
      </c>
      <c r="B209" t="s">
        <v>46</v>
      </c>
      <c r="C209" t="s">
        <v>146</v>
      </c>
    </row>
    <row r="210" spans="1:3" x14ac:dyDescent="0.25">
      <c r="A210" t="s">
        <v>15</v>
      </c>
      <c r="B210" t="s">
        <v>46</v>
      </c>
      <c r="C210" t="s">
        <v>226</v>
      </c>
    </row>
    <row r="211" spans="1:3" x14ac:dyDescent="0.25">
      <c r="A211" t="s">
        <v>15</v>
      </c>
      <c r="B211" t="s">
        <v>46</v>
      </c>
      <c r="C211" t="s">
        <v>185</v>
      </c>
    </row>
    <row r="212" spans="1:3" x14ac:dyDescent="0.25">
      <c r="A212" t="s">
        <v>14</v>
      </c>
      <c r="B212" t="s">
        <v>47</v>
      </c>
      <c r="C212" t="s">
        <v>156</v>
      </c>
    </row>
    <row r="213" spans="1:3" x14ac:dyDescent="0.25">
      <c r="A213" t="s">
        <v>15</v>
      </c>
      <c r="B213" t="s">
        <v>77</v>
      </c>
      <c r="C213" t="s">
        <v>277</v>
      </c>
    </row>
    <row r="214" spans="1:3" x14ac:dyDescent="0.25">
      <c r="A214" t="s">
        <v>13</v>
      </c>
      <c r="B214" t="s">
        <v>378</v>
      </c>
      <c r="C214" t="s">
        <v>160</v>
      </c>
    </row>
    <row r="215" spans="1:3" x14ac:dyDescent="0.25">
      <c r="A215" t="s">
        <v>13</v>
      </c>
      <c r="B215" t="s">
        <v>103</v>
      </c>
      <c r="C215" t="s">
        <v>278</v>
      </c>
    </row>
    <row r="216" spans="1:3" x14ac:dyDescent="0.25">
      <c r="A216" t="s">
        <v>13</v>
      </c>
      <c r="B216" t="s">
        <v>103</v>
      </c>
      <c r="C216" t="s">
        <v>279</v>
      </c>
    </row>
    <row r="217" spans="1:3" x14ac:dyDescent="0.25">
      <c r="A217" t="s">
        <v>13</v>
      </c>
      <c r="B217" t="s">
        <v>59</v>
      </c>
      <c r="C217" t="s">
        <v>252</v>
      </c>
    </row>
    <row r="218" spans="1:3" x14ac:dyDescent="0.25">
      <c r="A218" t="s">
        <v>13</v>
      </c>
      <c r="B218" t="s">
        <v>59</v>
      </c>
      <c r="C218" t="s">
        <v>254</v>
      </c>
    </row>
    <row r="219" spans="1:3" x14ac:dyDescent="0.25">
      <c r="A219" t="s">
        <v>17</v>
      </c>
      <c r="B219" t="s">
        <v>48</v>
      </c>
      <c r="C219" t="s">
        <v>255</v>
      </c>
    </row>
  </sheetData>
  <autoFilter ref="A1:C105" xr:uid="{00000000-0009-0000-0000-000004000000}">
    <sortState xmlns:xlrd2="http://schemas.microsoft.com/office/spreadsheetml/2017/richdata2" ref="A2:C211">
      <sortCondition ref="C1:C104"/>
    </sortState>
  </autoFilter>
  <sortState xmlns:xlrd2="http://schemas.microsoft.com/office/spreadsheetml/2017/richdata2" ref="A2:C109">
    <sortCondition ref="C2:C10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output</vt:lpstr>
      <vt:lpstr>Inventory</vt:lpstr>
      <vt:lpstr>Summary</vt:lpstr>
      <vt:lpstr>Analysis</vt:lpstr>
      <vt:lpstr>Lookup</vt:lpstr>
      <vt:lpstr>Accessed</vt:lpstr>
      <vt:lpstr>Age</vt:lpstr>
      <vt:lpstr>Bytes</vt:lpstr>
      <vt:lpstr>Created</vt:lpstr>
      <vt:lpstr>Exts</vt:lpstr>
      <vt:lpstr>InventoryCount</vt:lpstr>
      <vt:lpstr>lkpCat</vt:lpstr>
      <vt:lpstr>lkpDesc</vt:lpstr>
      <vt:lpstr>lkpExt</vt:lpstr>
      <vt:lpstr>TotalMB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Robillard</dc:creator>
  <cp:lastModifiedBy>Eli Robillard</cp:lastModifiedBy>
  <dcterms:created xsi:type="dcterms:W3CDTF">2014-02-03T23:58:15Z</dcterms:created>
  <dcterms:modified xsi:type="dcterms:W3CDTF">2022-06-15T17:54:45Z</dcterms:modified>
</cp:coreProperties>
</file>